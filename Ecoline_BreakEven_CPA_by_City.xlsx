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eak-Even by City" sheetId="1" state="visible" r:id="rId3"/>
    <sheet name="Assumptions" sheetId="2" state="visible" r:id="rId4"/>
  </sheets>
  <definedNames>
    <definedName function="false" hidden="true" localSheetId="0" name="_xlnm._FilterDatabase" vbProcedure="false">'Break-Even by City'!$A$1:$AB$29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<sst xmlns="http://schemas.openxmlformats.org/spreadsheetml/2006/main" count="92" uniqueCount="73">
  <si>
    <t xml:space="preserve">City</t>
  </si>
  <si>
    <t xml:space="preserve">Province</t>
  </si>
  <si>
    <t xml:space="preserve">Total Appts</t>
  </si>
  <si>
    <t xml:space="preserve">Canc. Before</t>
  </si>
  <si>
    <t xml:space="preserve">Canc.B %</t>
  </si>
  <si>
    <t xml:space="preserve">Showed Up</t>
  </si>
  <si>
    <t xml:space="preserve">Show Rate</t>
  </si>
  <si>
    <t xml:space="preserve">Sold</t>
  </si>
  <si>
    <t xml:space="preserve">Close Rate</t>
  </si>
  <si>
    <t xml:space="preserve">Avg Deal ($)</t>
  </si>
  <si>
    <t xml:space="preserve">Revenue ($)</t>
  </si>
  <si>
    <t xml:space="preserve">Margin/Sale ($)</t>
  </si>
  <si>
    <t xml:space="preserve">BE CPA ($)</t>
  </si>
  <si>
    <t xml:space="preserve">Est. Spend ($)</t>
  </si>
  <si>
    <t xml:space="preserve">Actual CPA ($)</t>
  </si>
  <si>
    <t xml:space="preserve">CPA Headroom ($)</t>
  </si>
  <si>
    <t xml:space="preserve">Appts LG</t>
  </si>
  <si>
    <t xml:space="preserve">Sold LG</t>
  </si>
  <si>
    <t xml:space="preserve">Deal LG ($)</t>
  </si>
  <si>
    <t xml:space="preserve">BE CPA LG ($)</t>
  </si>
  <si>
    <t xml:space="preserve">Appts CONV</t>
  </si>
  <si>
    <t xml:space="preserve">Sold CONV</t>
  </si>
  <si>
    <t xml:space="preserve">Deal CONV ($)</t>
  </si>
  <si>
    <t xml:space="preserve">BE CPA CONV ($)</t>
  </si>
  <si>
    <t xml:space="preserve">Appts Calls</t>
  </si>
  <si>
    <t xml:space="preserve">Sold Calls</t>
  </si>
  <si>
    <t xml:space="preserve">Deal Calls ($)</t>
  </si>
  <si>
    <t xml:space="preserve">BE CPA Calls ($)</t>
  </si>
  <si>
    <t xml:space="preserve">Calgary</t>
  </si>
  <si>
    <t xml:space="preserve">Alberta</t>
  </si>
  <si>
    <t xml:space="preserve">Edmonton</t>
  </si>
  <si>
    <t xml:space="preserve">Winnipeg</t>
  </si>
  <si>
    <t xml:space="preserve">Manitoba</t>
  </si>
  <si>
    <t xml:space="preserve">Vancouver</t>
  </si>
  <si>
    <t xml:space="preserve">British Columbia</t>
  </si>
  <si>
    <t xml:space="preserve">Halifax</t>
  </si>
  <si>
    <t xml:space="preserve">Nova Scotia</t>
  </si>
  <si>
    <t xml:space="preserve">Ottawa</t>
  </si>
  <si>
    <t xml:space="preserve">Ontario</t>
  </si>
  <si>
    <t xml:space="preserve">Moncton</t>
  </si>
  <si>
    <t xml:space="preserve">New Brunswick</t>
  </si>
  <si>
    <t xml:space="preserve">Regina</t>
  </si>
  <si>
    <t xml:space="preserve">Saskatchewan</t>
  </si>
  <si>
    <t xml:space="preserve">Saskatoon</t>
  </si>
  <si>
    <t xml:space="preserve">Fredericton</t>
  </si>
  <si>
    <t xml:space="preserve">Saint John, NB</t>
  </si>
  <si>
    <t xml:space="preserve">St. Jhon's, NF</t>
  </si>
  <si>
    <t xml:space="preserve">Newfoundland and Labrador</t>
  </si>
  <si>
    <t xml:space="preserve">Kelowna</t>
  </si>
  <si>
    <t xml:space="preserve">Lethbridge</t>
  </si>
  <si>
    <t xml:space="preserve">Medicine Hat</t>
  </si>
  <si>
    <t xml:space="preserve">Red Deer</t>
  </si>
  <si>
    <t xml:space="preserve">Nanaimo</t>
  </si>
  <si>
    <t xml:space="preserve">Victoria</t>
  </si>
  <si>
    <t xml:space="preserve">Grande Prairie</t>
  </si>
  <si>
    <t xml:space="preserve">Kamloops</t>
  </si>
  <si>
    <t xml:space="preserve">Charlottetown</t>
  </si>
  <si>
    <t xml:space="preserve">Prince Edward Island</t>
  </si>
  <si>
    <t xml:space="preserve">Prince George, BC</t>
  </si>
  <si>
    <t xml:space="preserve">Brandon, MB</t>
  </si>
  <si>
    <t xml:space="preserve">Moose Jaw, SK</t>
  </si>
  <si>
    <t xml:space="preserve">Kingston, ON</t>
  </si>
  <si>
    <t xml:space="preserve">Sydney</t>
  </si>
  <si>
    <t xml:space="preserve">Lloydminster, AB</t>
  </si>
  <si>
    <t xml:space="preserve">Kenora</t>
  </si>
  <si>
    <t xml:space="preserve">TOTAL / AVG</t>
  </si>
  <si>
    <t xml:space="preserve">Key Assumptions</t>
  </si>
  <si>
    <t xml:space="preserve">Fixed Cost %</t>
  </si>
  <si>
    <t xml:space="preserve">Margin %</t>
  </si>
  <si>
    <t xml:space="preserve">Data Period</t>
  </si>
  <si>
    <t xml:space="preserve">Jul 2025 – Apr 2026 (9 months)</t>
  </si>
  <si>
    <t xml:space="preserve">Source</t>
  </si>
  <si>
    <t xml:space="preserve">BigQuery: raw.leads + raw.calls + raw.spend_geo_snap + raw.call_city_map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</si>
</sst>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"/>
    <numFmt numFmtId="167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  <border diagonalUp="false" diagonalDown="false">
      <left/>
      <right/>
      <top style="medium">
        <color rgb="FF1F2937"/>
      </top>
      <bottom style="medium">
        <color rgb="FF1F293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13"/>
    <col collapsed="false" customWidth="true" hidden="false" outlineLevel="0" max="25" min="25" style="0" width="11"/>
    <col collapsed="false" customWidth="true" hidden="false" outlineLevel="0" max="26" min="26" style="0" width="10"/>
    <col collapsed="false" customWidth="true" hidden="false" outlineLevel="0" max="27" min="27" style="0" width="12"/>
    <col collapsed="false" customWidth="true" hidden="false" outlineLevel="0" max="28" min="28" style="0" width="13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2" t="s">
        <v>28</v>
      </c>
      <c r="B2" s="3" t="s">
        <v>29</v>
      </c>
      <c r="C2" s="3" t="n">
        <v>1414</v>
      </c>
      <c r="D2" s="3" t="n">
        <v>362</v>
      </c>
      <c r="E2" s="4" t="n">
        <f aca="false">D2/(F2+D2)</f>
        <v>0.284367635506677</v>
      </c>
      <c r="F2" s="3" t="n">
        <v>911</v>
      </c>
      <c r="G2" s="4" t="n">
        <f aca="false">IF(C2&gt;0,F2/C2,0)</f>
        <v>0.644271570014144</v>
      </c>
      <c r="H2" s="3" t="n">
        <v>145</v>
      </c>
      <c r="I2" s="4" t="n">
        <f aca="false">IF(F2&gt;0,H2/F2,0)</f>
        <v>0.159165751920966</v>
      </c>
      <c r="J2" s="5" t="n">
        <v>14138</v>
      </c>
      <c r="K2" s="5" t="n">
        <v>2035937</v>
      </c>
      <c r="L2" s="6" t="n">
        <f aca="false">J2*Assumptions!$B$4</f>
        <v>4665.54</v>
      </c>
      <c r="M2" s="7" t="n">
        <f aca="false">G2*I2*L2</f>
        <v>478.432319660537</v>
      </c>
      <c r="N2" s="5" t="n">
        <v>1144402</v>
      </c>
      <c r="O2" s="6" t="n">
        <f aca="false">IF(C2&gt;0,N2/C2,0)</f>
        <v>809.336633663366</v>
      </c>
      <c r="P2" s="8" t="n">
        <f aca="false">M2-O2</f>
        <v>-330.904314002829</v>
      </c>
      <c r="Q2" s="3" t="n">
        <v>754</v>
      </c>
      <c r="R2" s="3" t="n">
        <v>74</v>
      </c>
      <c r="S2" s="5" t="n">
        <v>12996</v>
      </c>
      <c r="T2" s="6" t="n">
        <f aca="false">IF(Q2&gt;0,(R2/Q2)*S2*Assumptions!$B$4,0)</f>
        <v>420.904933687003</v>
      </c>
      <c r="U2" s="3" t="n">
        <v>532</v>
      </c>
      <c r="V2" s="3" t="n">
        <v>60</v>
      </c>
      <c r="W2" s="5" t="n">
        <v>15055</v>
      </c>
      <c r="X2" s="6" t="n">
        <f aca="false">IF(U2&gt;0,(V2/U2)*W2*Assumptions!$B$4,0)</f>
        <v>560.317669172932</v>
      </c>
      <c r="Y2" s="3" t="n">
        <v>78</v>
      </c>
      <c r="Z2" s="3" t="n">
        <v>7</v>
      </c>
      <c r="AA2" s="5" t="n">
        <v>17509</v>
      </c>
      <c r="AB2" s="6" t="n">
        <f aca="false">IF(Y2&gt;0,(Z2/Y2)*AA2*Assumptions!$B$4,0)</f>
        <v>518.535769230769</v>
      </c>
    </row>
    <row r="3" customFormat="false" ht="15" hidden="false" customHeight="false" outlineLevel="0" collapsed="false">
      <c r="A3" s="2" t="s">
        <v>30</v>
      </c>
      <c r="B3" s="3" t="s">
        <v>29</v>
      </c>
      <c r="C3" s="3" t="n">
        <v>1334</v>
      </c>
      <c r="D3" s="3" t="n">
        <v>266</v>
      </c>
      <c r="E3" s="4" t="n">
        <f aca="false">D3/(F3+D3)</f>
        <v>0.22990492653414</v>
      </c>
      <c r="F3" s="3" t="n">
        <v>891</v>
      </c>
      <c r="G3" s="4" t="n">
        <f aca="false">IF(C3&gt;0,F3/C3,0)</f>
        <v>0.66791604197901</v>
      </c>
      <c r="H3" s="3" t="n">
        <v>148</v>
      </c>
      <c r="I3" s="4" t="n">
        <f aca="false">IF(F3&gt;0,H3/F3,0)</f>
        <v>0.166105499438833</v>
      </c>
      <c r="J3" s="5" t="n">
        <v>11901</v>
      </c>
      <c r="K3" s="5" t="n">
        <v>1689970</v>
      </c>
      <c r="L3" s="6" t="n">
        <f aca="false">J3*Assumptions!$B$4</f>
        <v>3927.33</v>
      </c>
      <c r="M3" s="7" t="n">
        <f aca="false">G3*I3*L3</f>
        <v>435.715772113943</v>
      </c>
      <c r="N3" s="5" t="n">
        <v>1079655</v>
      </c>
      <c r="O3" s="6" t="n">
        <f aca="false">IF(C3&gt;0,N3/C3,0)</f>
        <v>809.336581709145</v>
      </c>
      <c r="P3" s="8" t="n">
        <f aca="false">M3-O3</f>
        <v>-373.620809595203</v>
      </c>
      <c r="Q3" s="3" t="n">
        <v>788</v>
      </c>
      <c r="R3" s="3" t="n">
        <v>84</v>
      </c>
      <c r="S3" s="5" t="n">
        <v>11477</v>
      </c>
      <c r="T3" s="6" t="n">
        <f aca="false">IF(Q3&gt;0,(R3/Q3)*S3*Assumptions!$B$4,0)</f>
        <v>403.734060913706</v>
      </c>
      <c r="U3" s="3" t="n">
        <v>422</v>
      </c>
      <c r="V3" s="3" t="n">
        <v>51</v>
      </c>
      <c r="W3" s="5" t="n">
        <v>12525</v>
      </c>
      <c r="X3" s="6" t="n">
        <f aca="false">IF(U3&gt;0,(V3/U3)*W3*Assumptions!$B$4,0)</f>
        <v>499.515995260664</v>
      </c>
      <c r="Y3" s="3" t="n">
        <v>78</v>
      </c>
      <c r="Z3" s="3" t="n">
        <v>8</v>
      </c>
      <c r="AA3" s="5" t="n">
        <v>13387</v>
      </c>
      <c r="AB3" s="6" t="n">
        <f aca="false">IF(Y3&gt;0,(Z3/Y3)*AA3*Assumptions!$B$4,0)</f>
        <v>453.098461538461</v>
      </c>
    </row>
    <row r="4" customFormat="false" ht="15" hidden="false" customHeight="false" outlineLevel="0" collapsed="false">
      <c r="A4" s="2" t="s">
        <v>31</v>
      </c>
      <c r="B4" s="3" t="s">
        <v>32</v>
      </c>
      <c r="C4" s="3" t="n">
        <v>898</v>
      </c>
      <c r="D4" s="3" t="n">
        <v>350</v>
      </c>
      <c r="E4" s="4" t="n">
        <f aca="false">D4/(F4+D4)</f>
        <v>0.41866028708134</v>
      </c>
      <c r="F4" s="3" t="n">
        <v>486</v>
      </c>
      <c r="G4" s="4" t="n">
        <f aca="false">IF(C4&gt;0,F4/C4,0)</f>
        <v>0.541202672605791</v>
      </c>
      <c r="H4" s="3" t="n">
        <v>106</v>
      </c>
      <c r="I4" s="4" t="n">
        <f aca="false">IF(F4&gt;0,H4/F4,0)</f>
        <v>0.218106995884774</v>
      </c>
      <c r="J4" s="5" t="n">
        <v>9364</v>
      </c>
      <c r="K4" s="5" t="n">
        <v>983242</v>
      </c>
      <c r="L4" s="6" t="n">
        <f aca="false">J4*Assumptions!$B$4</f>
        <v>3090.12</v>
      </c>
      <c r="M4" s="7" t="n">
        <f aca="false">G4*I4*L4</f>
        <v>364.758040089087</v>
      </c>
      <c r="N4" s="5" t="n">
        <v>723558</v>
      </c>
      <c r="O4" s="6" t="n">
        <f aca="false">IF(C4&gt;0,N4/C4,0)</f>
        <v>805.743875278396</v>
      </c>
      <c r="P4" s="8" t="n">
        <f aca="false">M4-O4</f>
        <v>-440.98583518931</v>
      </c>
      <c r="Q4" s="3" t="n">
        <v>448</v>
      </c>
      <c r="R4" s="3" t="n">
        <v>50</v>
      </c>
      <c r="S4" s="5" t="n">
        <v>10317</v>
      </c>
      <c r="T4" s="6" t="n">
        <f aca="false">IF(Q4&gt;0,(R4/Q4)*S4*Assumptions!$B$4,0)</f>
        <v>379.978794642857</v>
      </c>
      <c r="U4" s="3" t="n">
        <v>380</v>
      </c>
      <c r="V4" s="3" t="n">
        <v>45</v>
      </c>
      <c r="W4" s="5" t="n">
        <v>8850</v>
      </c>
      <c r="X4" s="6" t="n">
        <f aca="false">IF(U4&gt;0,(V4/U4)*W4*Assumptions!$B$4,0)</f>
        <v>345.848684210526</v>
      </c>
      <c r="Y4" s="3" t="n">
        <v>45</v>
      </c>
      <c r="Z4" s="3" t="n">
        <v>4</v>
      </c>
      <c r="AA4" s="5" t="n">
        <v>6399</v>
      </c>
      <c r="AB4" s="6" t="n">
        <f aca="false">IF(Y4&gt;0,(Z4/Y4)*AA4*Assumptions!$B$4,0)</f>
        <v>187.704</v>
      </c>
    </row>
    <row r="5" customFormat="false" ht="15" hidden="false" customHeight="false" outlineLevel="0" collapsed="false">
      <c r="A5" s="2" t="s">
        <v>33</v>
      </c>
      <c r="B5" s="3" t="s">
        <v>34</v>
      </c>
      <c r="C5" s="3" t="n">
        <v>632</v>
      </c>
      <c r="D5" s="3" t="n">
        <v>138</v>
      </c>
      <c r="E5" s="4" t="n">
        <f aca="false">D5/(F5+D5)</f>
        <v>0.238754325259516</v>
      </c>
      <c r="F5" s="3" t="n">
        <v>440</v>
      </c>
      <c r="G5" s="4" t="n">
        <f aca="false">IF(C5&gt;0,F5/C5,0)</f>
        <v>0.69620253164557</v>
      </c>
      <c r="H5" s="3" t="n">
        <v>64</v>
      </c>
      <c r="I5" s="4" t="n">
        <f aca="false">IF(F5&gt;0,H5/F5,0)</f>
        <v>0.145454545454545</v>
      </c>
      <c r="J5" s="5" t="n">
        <v>17947</v>
      </c>
      <c r="K5" s="5" t="n">
        <v>1148613</v>
      </c>
      <c r="L5" s="6" t="n">
        <f aca="false">J5*Assumptions!$B$4</f>
        <v>5922.51</v>
      </c>
      <c r="M5" s="7" t="n">
        <f aca="false">G5*I5*L5</f>
        <v>599.747848101266</v>
      </c>
      <c r="N5" s="5" t="n">
        <v>663320</v>
      </c>
      <c r="O5" s="6" t="n">
        <f aca="false">IF(C5&gt;0,N5/C5,0)</f>
        <v>1049.55696202532</v>
      </c>
      <c r="P5" s="8" t="n">
        <f aca="false">M5-O5</f>
        <v>-449.809113924051</v>
      </c>
      <c r="Q5" s="3" t="n">
        <v>310</v>
      </c>
      <c r="R5" s="3" t="n">
        <v>25</v>
      </c>
      <c r="S5" s="5" t="n">
        <v>19192</v>
      </c>
      <c r="T5" s="6" t="n">
        <f aca="false">IF(Q5&gt;0,(R5/Q5)*S5*Assumptions!$B$4,0)</f>
        <v>510.754838709677</v>
      </c>
      <c r="U5" s="3" t="n">
        <v>271</v>
      </c>
      <c r="V5" s="3" t="n">
        <v>36</v>
      </c>
      <c r="W5" s="5" t="n">
        <v>17475</v>
      </c>
      <c r="X5" s="6" t="n">
        <f aca="false">IF(U5&gt;0,(V5/U5)*W5*Assumptions!$B$4,0)</f>
        <v>766.062730627306</v>
      </c>
      <c r="Y5" s="3" t="n">
        <v>37</v>
      </c>
      <c r="Z5" s="3" t="n">
        <v>2</v>
      </c>
      <c r="AA5" s="5" t="n">
        <v>8710</v>
      </c>
      <c r="AB5" s="6" t="n">
        <f aca="false">IF(Y5&gt;0,(Z5/Y5)*AA5*Assumptions!$B$4,0)</f>
        <v>155.367567567568</v>
      </c>
    </row>
    <row r="6" customFormat="false" ht="15" hidden="false" customHeight="false" outlineLevel="0" collapsed="false">
      <c r="A6" s="2" t="s">
        <v>35</v>
      </c>
      <c r="B6" s="3" t="s">
        <v>36</v>
      </c>
      <c r="C6" s="3" t="n">
        <v>593</v>
      </c>
      <c r="D6" s="3" t="n">
        <v>105</v>
      </c>
      <c r="E6" s="4" t="n">
        <f aca="false">D6/(F6+D6)</f>
        <v>0.197368421052632</v>
      </c>
      <c r="F6" s="3" t="n">
        <v>427</v>
      </c>
      <c r="G6" s="4" t="n">
        <f aca="false">IF(C6&gt;0,F6/C6,0)</f>
        <v>0.720067453625632</v>
      </c>
      <c r="H6" s="3" t="n">
        <v>64</v>
      </c>
      <c r="I6" s="4" t="n">
        <f aca="false">IF(F6&gt;0,H6/F6,0)</f>
        <v>0.149882903981265</v>
      </c>
      <c r="J6" s="5" t="n">
        <v>12935</v>
      </c>
      <c r="K6" s="5" t="n">
        <v>827863</v>
      </c>
      <c r="L6" s="6" t="n">
        <f aca="false">J6*Assumptions!$B$4</f>
        <v>4268.55</v>
      </c>
      <c r="M6" s="7" t="n">
        <f aca="false">G6*I6*L6</f>
        <v>460.686677908938</v>
      </c>
      <c r="N6" s="5" t="n">
        <v>475234</v>
      </c>
      <c r="O6" s="6" t="n">
        <f aca="false">IF(C6&gt;0,N6/C6,0)</f>
        <v>801.406408094435</v>
      </c>
      <c r="P6" s="8" t="n">
        <f aca="false">M6-O6</f>
        <v>-340.719730185498</v>
      </c>
      <c r="Q6" s="3" t="n">
        <v>159</v>
      </c>
      <c r="R6" s="3" t="n">
        <v>17</v>
      </c>
      <c r="S6" s="5" t="n">
        <v>14201</v>
      </c>
      <c r="T6" s="6" t="n">
        <f aca="false">IF(Q6&gt;0,(R6/Q6)*S6*Assumptions!$B$4,0)</f>
        <v>501.054150943396</v>
      </c>
      <c r="U6" s="3" t="n">
        <v>317</v>
      </c>
      <c r="V6" s="3" t="n">
        <v>34</v>
      </c>
      <c r="W6" s="5" t="n">
        <v>12747</v>
      </c>
      <c r="X6" s="6" t="n">
        <f aca="false">IF(U6&gt;0,(V6/U6)*W6*Assumptions!$B$4,0)</f>
        <v>451.17141955836</v>
      </c>
      <c r="Y6" s="3" t="n">
        <v>18</v>
      </c>
      <c r="Z6" s="3" t="n">
        <v>1</v>
      </c>
      <c r="AA6" s="5" t="n">
        <v>10860</v>
      </c>
      <c r="AB6" s="6" t="n">
        <f aca="false">IF(Y6&gt;0,(Z6/Y6)*AA6*Assumptions!$B$4,0)</f>
        <v>199.1</v>
      </c>
    </row>
    <row r="7" customFormat="false" ht="15" hidden="false" customHeight="false" outlineLevel="0" collapsed="false">
      <c r="A7" s="2" t="s">
        <v>37</v>
      </c>
      <c r="B7" s="3" t="s">
        <v>38</v>
      </c>
      <c r="C7" s="3" t="n">
        <v>467</v>
      </c>
      <c r="D7" s="3" t="n">
        <v>85</v>
      </c>
      <c r="E7" s="4" t="n">
        <f aca="false">D7/(F7+D7)</f>
        <v>0.215736040609137</v>
      </c>
      <c r="F7" s="3" t="n">
        <v>309</v>
      </c>
      <c r="G7" s="4" t="n">
        <f aca="false">IF(C7&gt;0,F7/C7,0)</f>
        <v>0.661670235546039</v>
      </c>
      <c r="H7" s="3" t="n">
        <v>58</v>
      </c>
      <c r="I7" s="4" t="n">
        <f aca="false">IF(F7&gt;0,H7/F7,0)</f>
        <v>0.187702265372168</v>
      </c>
      <c r="J7" s="5" t="n">
        <v>10950</v>
      </c>
      <c r="K7" s="5" t="n">
        <v>635100</v>
      </c>
      <c r="L7" s="6" t="n">
        <f aca="false">J7*Assumptions!$B$4</f>
        <v>3613.5</v>
      </c>
      <c r="M7" s="7" t="n">
        <f aca="false">G7*I7*L7</f>
        <v>448.785867237687</v>
      </c>
      <c r="N7" s="5" t="n">
        <v>648517</v>
      </c>
      <c r="O7" s="6" t="n">
        <f aca="false">IF(C7&gt;0,N7/C7,0)</f>
        <v>1388.68736616702</v>
      </c>
      <c r="P7" s="8" t="n">
        <f aca="false">M7-O7</f>
        <v>-939.901498929336</v>
      </c>
      <c r="Q7" s="3" t="n">
        <v>222</v>
      </c>
      <c r="R7" s="3" t="n">
        <v>30</v>
      </c>
      <c r="S7" s="5" t="n">
        <v>10761</v>
      </c>
      <c r="T7" s="6" t="n">
        <f aca="false">IF(Q7&gt;0,(R7/Q7)*S7*Assumptions!$B$4,0)</f>
        <v>479.882432432432</v>
      </c>
      <c r="U7" s="3" t="n">
        <v>206</v>
      </c>
      <c r="V7" s="3" t="n">
        <v>24</v>
      </c>
      <c r="W7" s="5" t="n">
        <v>12070</v>
      </c>
      <c r="X7" s="6" t="n">
        <f aca="false">IF(U7&gt;0,(V7/U7)*W7*Assumptions!$B$4,0)</f>
        <v>464.050485436893</v>
      </c>
      <c r="Y7" s="3" t="n">
        <v>20</v>
      </c>
      <c r="Z7" s="3" t="n">
        <v>3</v>
      </c>
      <c r="AA7" s="5" t="n">
        <v>5349</v>
      </c>
      <c r="AB7" s="6" t="n">
        <f aca="false">IF(Y7&gt;0,(Z7/Y7)*AA7*Assumptions!$B$4,0)</f>
        <v>264.7755</v>
      </c>
    </row>
    <row r="8" customFormat="false" ht="15" hidden="false" customHeight="false" outlineLevel="0" collapsed="false">
      <c r="A8" s="2" t="s">
        <v>39</v>
      </c>
      <c r="B8" s="3" t="s">
        <v>40</v>
      </c>
      <c r="C8" s="3" t="n">
        <v>390</v>
      </c>
      <c r="D8" s="3" t="n">
        <v>49</v>
      </c>
      <c r="E8" s="4" t="n">
        <f aca="false">D8/(F8+D8)</f>
        <v>0.136871508379888</v>
      </c>
      <c r="F8" s="3" t="n">
        <v>309</v>
      </c>
      <c r="G8" s="4" t="n">
        <f aca="false">IF(C8&gt;0,F8/C8,0)</f>
        <v>0.792307692307692</v>
      </c>
      <c r="H8" s="3" t="n">
        <v>78</v>
      </c>
      <c r="I8" s="4" t="n">
        <f aca="false">IF(F8&gt;0,H8/F8,0)</f>
        <v>0.252427184466019</v>
      </c>
      <c r="J8" s="5" t="n">
        <v>12620</v>
      </c>
      <c r="K8" s="5" t="n">
        <v>971709</v>
      </c>
      <c r="L8" s="6" t="n">
        <f aca="false">J8*Assumptions!$B$4</f>
        <v>4164.6</v>
      </c>
      <c r="M8" s="7" t="n">
        <f aca="false">G8*I8*L8</f>
        <v>832.92</v>
      </c>
      <c r="N8" s="5" t="n">
        <v>303102</v>
      </c>
      <c r="O8" s="6" t="n">
        <f aca="false">IF(C8&gt;0,N8/C8,0)</f>
        <v>777.184615384615</v>
      </c>
      <c r="P8" s="8" t="n">
        <f aca="false">M8-O8</f>
        <v>55.7353846153844</v>
      </c>
      <c r="Q8" s="3" t="n">
        <v>102</v>
      </c>
      <c r="R8" s="3" t="n">
        <v>20</v>
      </c>
      <c r="S8" s="5" t="n">
        <v>11726</v>
      </c>
      <c r="T8" s="6" t="n">
        <f aca="false">IF(Q8&gt;0,(R8/Q8)*S8*Assumptions!$B$4,0)</f>
        <v>758.741176470588</v>
      </c>
      <c r="U8" s="3" t="n">
        <v>198</v>
      </c>
      <c r="V8" s="3" t="n">
        <v>47</v>
      </c>
      <c r="W8" s="5" t="n">
        <v>13813</v>
      </c>
      <c r="X8" s="6" t="n">
        <f aca="false">IF(U8&gt;0,(V8/U8)*W8*Assumptions!$B$4,0)</f>
        <v>1082.01833333333</v>
      </c>
      <c r="Y8" s="3" t="n">
        <v>12</v>
      </c>
      <c r="Z8" s="3" t="n">
        <v>0</v>
      </c>
      <c r="AA8" s="5" t="n">
        <v>0</v>
      </c>
      <c r="AB8" s="6" t="n">
        <v>0</v>
      </c>
    </row>
    <row r="9" customFormat="false" ht="15" hidden="false" customHeight="false" outlineLevel="0" collapsed="false">
      <c r="A9" s="2" t="s">
        <v>41</v>
      </c>
      <c r="B9" s="3" t="s">
        <v>42</v>
      </c>
      <c r="C9" s="3" t="n">
        <v>308</v>
      </c>
      <c r="D9" s="3" t="n">
        <v>42</v>
      </c>
      <c r="E9" s="4" t="n">
        <f aca="false">D9/(F9+D9)</f>
        <v>0.151079136690648</v>
      </c>
      <c r="F9" s="3" t="n">
        <v>236</v>
      </c>
      <c r="G9" s="4" t="n">
        <f aca="false">IF(C9&gt;0,F9/C9,0)</f>
        <v>0.766233766233766</v>
      </c>
      <c r="H9" s="3" t="n">
        <v>41</v>
      </c>
      <c r="I9" s="4" t="n">
        <f aca="false">IF(F9&gt;0,H9/F9,0)</f>
        <v>0.173728813559322</v>
      </c>
      <c r="J9" s="5" t="n">
        <v>12508</v>
      </c>
      <c r="K9" s="5" t="n">
        <v>487794</v>
      </c>
      <c r="L9" s="6" t="n">
        <f aca="false">J9*Assumptions!$B$4</f>
        <v>4127.64</v>
      </c>
      <c r="M9" s="7" t="n">
        <f aca="false">G9*I9*L9</f>
        <v>549.458571428571</v>
      </c>
      <c r="N9" s="5" t="n">
        <v>309767</v>
      </c>
      <c r="O9" s="6" t="n">
        <f aca="false">IF(C9&gt;0,N9/C9,0)</f>
        <v>1005.73701298701</v>
      </c>
      <c r="P9" s="8" t="n">
        <f aca="false">M9-O9</f>
        <v>-456.278441558442</v>
      </c>
      <c r="Q9" s="3" t="n">
        <v>134</v>
      </c>
      <c r="R9" s="3" t="n">
        <v>17</v>
      </c>
      <c r="S9" s="5" t="n">
        <v>12799</v>
      </c>
      <c r="T9" s="6" t="n">
        <f aca="false">IF(Q9&gt;0,(R9/Q9)*S9*Assumptions!$B$4,0)</f>
        <v>535.838731343284</v>
      </c>
      <c r="U9" s="3" t="n">
        <v>147</v>
      </c>
      <c r="V9" s="3" t="n">
        <v>19</v>
      </c>
      <c r="W9" s="5" t="n">
        <v>12519</v>
      </c>
      <c r="X9" s="6" t="n">
        <f aca="false">IF(U9&gt;0,(V9/U9)*W9*Assumptions!$B$4,0)</f>
        <v>533.973673469388</v>
      </c>
      <c r="Y9" s="3" t="n">
        <v>16</v>
      </c>
      <c r="Z9" s="3" t="n">
        <v>4</v>
      </c>
      <c r="AA9" s="5" t="n">
        <v>11339</v>
      </c>
      <c r="AB9" s="6" t="n">
        <f aca="false">IF(Y9&gt;0,(Z9/Y9)*AA9*Assumptions!$B$4,0)</f>
        <v>935.4675</v>
      </c>
    </row>
    <row r="10" customFormat="false" ht="15" hidden="false" customHeight="false" outlineLevel="0" collapsed="false">
      <c r="A10" s="2" t="s">
        <v>43</v>
      </c>
      <c r="B10" s="3" t="s">
        <v>42</v>
      </c>
      <c r="C10" s="3" t="n">
        <v>271</v>
      </c>
      <c r="D10" s="3" t="n">
        <v>49</v>
      </c>
      <c r="E10" s="4" t="n">
        <f aca="false">D10/(F10+D10)</f>
        <v>0.212121212121212</v>
      </c>
      <c r="F10" s="3" t="n">
        <v>182</v>
      </c>
      <c r="G10" s="4" t="n">
        <f aca="false">IF(C10&gt;0,F10/C10,0)</f>
        <v>0.671586715867159</v>
      </c>
      <c r="H10" s="3" t="n">
        <v>36</v>
      </c>
      <c r="I10" s="4" t="n">
        <f aca="false">IF(F10&gt;0,H10/F10,0)</f>
        <v>0.197802197802198</v>
      </c>
      <c r="J10" s="5" t="n">
        <v>13690</v>
      </c>
      <c r="K10" s="5" t="n">
        <v>492848</v>
      </c>
      <c r="L10" s="6" t="n">
        <f aca="false">J10*Assumptions!$B$4</f>
        <v>4517.7</v>
      </c>
      <c r="M10" s="7" t="n">
        <f aca="false">G10*I10*L10</f>
        <v>600.137269372694</v>
      </c>
      <c r="N10" s="5" t="n">
        <v>272554</v>
      </c>
      <c r="O10" s="6" t="n">
        <f aca="false">IF(C10&gt;0,N10/C10,0)</f>
        <v>1005.73431734317</v>
      </c>
      <c r="P10" s="8" t="n">
        <f aca="false">M10-O10</f>
        <v>-405.59704797048</v>
      </c>
      <c r="Q10" s="3" t="n">
        <v>113</v>
      </c>
      <c r="R10" s="3" t="n">
        <v>14</v>
      </c>
      <c r="S10" s="5" t="n">
        <v>13005</v>
      </c>
      <c r="T10" s="6" t="n">
        <f aca="false">IF(Q10&gt;0,(R10/Q10)*S10*Assumptions!$B$4,0)</f>
        <v>531.708849557522</v>
      </c>
      <c r="U10" s="3" t="n">
        <v>135</v>
      </c>
      <c r="V10" s="3" t="n">
        <v>20</v>
      </c>
      <c r="W10" s="5" t="n">
        <v>14496</v>
      </c>
      <c r="X10" s="6" t="n">
        <f aca="false">IF(U10&gt;0,(V10/U10)*W10*Assumptions!$B$4,0)</f>
        <v>708.693333333333</v>
      </c>
      <c r="Y10" s="3" t="n">
        <v>10</v>
      </c>
      <c r="Z10" s="3" t="n">
        <v>0</v>
      </c>
      <c r="AA10" s="5" t="n">
        <v>0</v>
      </c>
      <c r="AB10" s="6" t="n">
        <v>0</v>
      </c>
    </row>
    <row r="11" customFormat="false" ht="15" hidden="false" customHeight="false" outlineLevel="0" collapsed="false">
      <c r="A11" s="2" t="s">
        <v>44</v>
      </c>
      <c r="B11" s="3" t="s">
        <v>40</v>
      </c>
      <c r="C11" s="3" t="n">
        <v>262</v>
      </c>
      <c r="D11" s="3" t="n">
        <v>39</v>
      </c>
      <c r="E11" s="4" t="n">
        <f aca="false">D11/(F11+D11)</f>
        <v>0.167381974248927</v>
      </c>
      <c r="F11" s="3" t="n">
        <v>194</v>
      </c>
      <c r="G11" s="4" t="n">
        <f aca="false">IF(C11&gt;0,F11/C11,0)</f>
        <v>0.740458015267176</v>
      </c>
      <c r="H11" s="3" t="n">
        <v>43</v>
      </c>
      <c r="I11" s="4" t="n">
        <f aca="false">IF(F11&gt;0,H11/F11,0)</f>
        <v>0.221649484536082</v>
      </c>
      <c r="J11" s="5" t="n">
        <v>13682</v>
      </c>
      <c r="K11" s="5" t="n">
        <v>588325</v>
      </c>
      <c r="L11" s="6" t="n">
        <f aca="false">J11*Assumptions!$B$4</f>
        <v>4515.06</v>
      </c>
      <c r="M11" s="7" t="n">
        <f aca="false">G11*I11*L11</f>
        <v>741.021297709924</v>
      </c>
      <c r="N11" s="5" t="n">
        <v>203622</v>
      </c>
      <c r="O11" s="6" t="n">
        <f aca="false">IF(C11&gt;0,N11/C11,0)</f>
        <v>777.18320610687</v>
      </c>
      <c r="P11" s="8" t="n">
        <f aca="false">M11-O11</f>
        <v>-36.1619083969466</v>
      </c>
      <c r="Q11" s="3" t="n">
        <v>118</v>
      </c>
      <c r="R11" s="3" t="n">
        <v>15</v>
      </c>
      <c r="S11" s="5" t="n">
        <v>13195</v>
      </c>
      <c r="T11" s="6" t="n">
        <f aca="false">IF(Q11&gt;0,(R11/Q11)*S11*Assumptions!$B$4,0)</f>
        <v>553.51906779661</v>
      </c>
      <c r="U11" s="3" t="n">
        <v>126</v>
      </c>
      <c r="V11" s="3" t="n">
        <v>25</v>
      </c>
      <c r="W11" s="5" t="n">
        <v>14334</v>
      </c>
      <c r="X11" s="6" t="n">
        <f aca="false">IF(U11&gt;0,(V11/U11)*W11*Assumptions!$B$4,0)</f>
        <v>938.535714285714</v>
      </c>
      <c r="Y11" s="3" t="n">
        <v>11</v>
      </c>
      <c r="Z11" s="3" t="n">
        <v>3</v>
      </c>
      <c r="AA11" s="5" t="n">
        <v>10684</v>
      </c>
      <c r="AB11" s="6" t="n">
        <f aca="false">IF(Y11&gt;0,(Z11/Y11)*AA11*Assumptions!$B$4,0)</f>
        <v>961.56</v>
      </c>
    </row>
    <row r="12" customFormat="false" ht="15" hidden="false" customHeight="false" outlineLevel="0" collapsed="false">
      <c r="A12" s="2" t="s">
        <v>45</v>
      </c>
      <c r="B12" s="3" t="s">
        <v>40</v>
      </c>
      <c r="C12" s="3" t="n">
        <v>236</v>
      </c>
      <c r="D12" s="3" t="n">
        <v>43</v>
      </c>
      <c r="E12" s="4" t="n">
        <f aca="false">D12/(F12+D12)</f>
        <v>0.219387755102041</v>
      </c>
      <c r="F12" s="3" t="n">
        <v>153</v>
      </c>
      <c r="G12" s="4" t="n">
        <f aca="false">IF(C12&gt;0,F12/C12,0)</f>
        <v>0.648305084745763</v>
      </c>
      <c r="H12" s="3" t="n">
        <v>35</v>
      </c>
      <c r="I12" s="4" t="n">
        <f aca="false">IF(F12&gt;0,H12/F12,0)</f>
        <v>0.228758169934641</v>
      </c>
      <c r="J12" s="5" t="n">
        <v>12559</v>
      </c>
      <c r="K12" s="5" t="n">
        <v>427001</v>
      </c>
      <c r="L12" s="6" t="n">
        <f aca="false">J12*Assumptions!$B$4</f>
        <v>4144.47</v>
      </c>
      <c r="M12" s="7" t="n">
        <f aca="false">G12*I12*L12</f>
        <v>614.645974576271</v>
      </c>
      <c r="N12" s="5" t="n">
        <v>183416</v>
      </c>
      <c r="O12" s="6" t="n">
        <f aca="false">IF(C12&gt;0,N12/C12,0)</f>
        <v>777.186440677966</v>
      </c>
      <c r="P12" s="8" t="n">
        <f aca="false">M12-O12</f>
        <v>-162.540466101695</v>
      </c>
      <c r="Q12" s="3" t="n">
        <v>40</v>
      </c>
      <c r="R12" s="3" t="n">
        <v>6</v>
      </c>
      <c r="S12" s="5" t="n">
        <v>12960</v>
      </c>
      <c r="T12" s="6" t="n">
        <f aca="false">IF(Q12&gt;0,(R12/Q12)*S12*Assumptions!$B$4,0)</f>
        <v>641.52</v>
      </c>
      <c r="U12" s="3" t="n">
        <v>169</v>
      </c>
      <c r="V12" s="3" t="n">
        <v>27</v>
      </c>
      <c r="W12" s="5" t="n">
        <v>11391</v>
      </c>
      <c r="X12" s="6" t="n">
        <f aca="false">IF(U12&gt;0,(V12/U12)*W12*Assumptions!$B$4,0)</f>
        <v>600.555088757396</v>
      </c>
      <c r="Y12" s="3" t="n">
        <v>11</v>
      </c>
      <c r="Z12" s="3" t="n">
        <v>0</v>
      </c>
      <c r="AA12" s="5" t="n">
        <v>0</v>
      </c>
      <c r="AB12" s="6" t="n">
        <v>0</v>
      </c>
    </row>
    <row r="13" customFormat="false" ht="15" hidden="false" customHeight="false" outlineLevel="0" collapsed="false">
      <c r="A13" s="2" t="s">
        <v>46</v>
      </c>
      <c r="B13" s="3" t="s">
        <v>47</v>
      </c>
      <c r="C13" s="3" t="n">
        <v>221</v>
      </c>
      <c r="D13" s="3" t="n">
        <v>22</v>
      </c>
      <c r="E13" s="4" t="n">
        <f aca="false">D13/(F13+D13)</f>
        <v>0.129411764705882</v>
      </c>
      <c r="F13" s="3" t="n">
        <v>148</v>
      </c>
      <c r="G13" s="4" t="n">
        <f aca="false">IF(C13&gt;0,F13/C13,0)</f>
        <v>0.669683257918552</v>
      </c>
      <c r="H13" s="3" t="n">
        <v>27</v>
      </c>
      <c r="I13" s="4" t="n">
        <f aca="false">IF(F13&gt;0,H13/F13,0)</f>
        <v>0.182432432432432</v>
      </c>
      <c r="J13" s="5" t="n">
        <v>10251</v>
      </c>
      <c r="K13" s="5" t="n">
        <v>256265</v>
      </c>
      <c r="L13" s="6" t="n">
        <f aca="false">J13*Assumptions!$B$4</f>
        <v>3382.83</v>
      </c>
      <c r="M13" s="7" t="n">
        <f aca="false">G13*I13*L13</f>
        <v>413.286923076923</v>
      </c>
      <c r="N13" s="5" t="n">
        <v>285090</v>
      </c>
      <c r="O13" s="6" t="n">
        <f aca="false">IF(C13&gt;0,N13/C13,0)</f>
        <v>1290</v>
      </c>
      <c r="P13" s="8" t="n">
        <f aca="false">M13-O13</f>
        <v>-876.713076923077</v>
      </c>
      <c r="Q13" s="3" t="n">
        <v>92</v>
      </c>
      <c r="R13" s="3" t="n">
        <v>8</v>
      </c>
      <c r="S13" s="5" t="n">
        <v>9478</v>
      </c>
      <c r="T13" s="6" t="n">
        <f aca="false">IF(Q13&gt;0,(R13/Q13)*S13*Assumptions!$B$4,0)</f>
        <v>271.977391304348</v>
      </c>
      <c r="U13" s="3" t="n">
        <v>117</v>
      </c>
      <c r="V13" s="3" t="n">
        <v>18</v>
      </c>
      <c r="W13" s="5" t="n">
        <v>10614</v>
      </c>
      <c r="X13" s="6" t="n">
        <f aca="false">IF(U13&gt;0,(V13/U13)*W13*Assumptions!$B$4,0)</f>
        <v>538.864615384615</v>
      </c>
      <c r="Y13" s="3" t="n">
        <v>7</v>
      </c>
      <c r="Z13" s="3" t="n">
        <v>0</v>
      </c>
      <c r="AA13" s="5" t="n">
        <v>0</v>
      </c>
      <c r="AB13" s="6" t="n">
        <v>0</v>
      </c>
    </row>
    <row r="14" customFormat="false" ht="15" hidden="false" customHeight="false" outlineLevel="0" collapsed="false">
      <c r="A14" s="2" t="s">
        <v>48</v>
      </c>
      <c r="B14" s="3" t="s">
        <v>34</v>
      </c>
      <c r="C14" s="3" t="n">
        <v>204</v>
      </c>
      <c r="D14" s="3" t="n">
        <v>66</v>
      </c>
      <c r="E14" s="4" t="n">
        <f aca="false">D14/(F14+D14)</f>
        <v>0.372881355932203</v>
      </c>
      <c r="F14" s="3" t="n">
        <v>111</v>
      </c>
      <c r="G14" s="4" t="n">
        <f aca="false">IF(C14&gt;0,F14/C14,0)</f>
        <v>0.544117647058824</v>
      </c>
      <c r="H14" s="3" t="n">
        <v>29</v>
      </c>
      <c r="I14" s="4" t="n">
        <f aca="false">IF(F14&gt;0,H14/F14,0)</f>
        <v>0.261261261261261</v>
      </c>
      <c r="J14" s="5" t="n">
        <v>13832</v>
      </c>
      <c r="K14" s="5" t="n">
        <v>401137</v>
      </c>
      <c r="L14" s="6" t="n">
        <f aca="false">J14*Assumptions!$B$4</f>
        <v>4564.56</v>
      </c>
      <c r="M14" s="7" t="n">
        <f aca="false">G14*I14*L14</f>
        <v>648.883529411765</v>
      </c>
      <c r="N14" s="5" t="n">
        <v>214110</v>
      </c>
      <c r="O14" s="6" t="n">
        <f aca="false">IF(C14&gt;0,N14/C14,0)</f>
        <v>1049.55882352941</v>
      </c>
      <c r="P14" s="8" t="n">
        <f aca="false">M14-O14</f>
        <v>-400.675294117647</v>
      </c>
      <c r="Q14" s="3" t="n">
        <v>98</v>
      </c>
      <c r="R14" s="3" t="n">
        <v>14</v>
      </c>
      <c r="S14" s="5" t="n">
        <v>15293</v>
      </c>
      <c r="T14" s="6" t="n">
        <f aca="false">IF(Q14&gt;0,(R14/Q14)*S14*Assumptions!$B$4,0)</f>
        <v>720.955714285714</v>
      </c>
      <c r="U14" s="3" t="n">
        <v>90</v>
      </c>
      <c r="V14" s="3" t="n">
        <v>13</v>
      </c>
      <c r="W14" s="5" t="n">
        <v>11752</v>
      </c>
      <c r="X14" s="6" t="n">
        <f aca="false">IF(U14&gt;0,(V14/U14)*W14*Assumptions!$B$4,0)</f>
        <v>560.178666666667</v>
      </c>
      <c r="Y14" s="3" t="n">
        <v>7</v>
      </c>
      <c r="Z14" s="3" t="n">
        <v>1</v>
      </c>
      <c r="AA14" s="5" t="n">
        <v>4830</v>
      </c>
      <c r="AB14" s="6" t="n">
        <f aca="false">IF(Y14&gt;0,(Z14/Y14)*AA14*Assumptions!$B$4,0)</f>
        <v>227.7</v>
      </c>
    </row>
    <row r="15" customFormat="false" ht="15" hidden="false" customHeight="false" outlineLevel="0" collapsed="false">
      <c r="A15" s="2" t="s">
        <v>49</v>
      </c>
      <c r="B15" s="3" t="s">
        <v>29</v>
      </c>
      <c r="C15" s="3" t="n">
        <v>189</v>
      </c>
      <c r="D15" s="3" t="n">
        <v>54</v>
      </c>
      <c r="E15" s="4" t="n">
        <f aca="false">D15/(F15+D15)</f>
        <v>0.333333333333333</v>
      </c>
      <c r="F15" s="3" t="n">
        <v>108</v>
      </c>
      <c r="G15" s="4" t="n">
        <f aca="false">IF(C15&gt;0,F15/C15,0)</f>
        <v>0.571428571428571</v>
      </c>
      <c r="H15" s="3" t="n">
        <v>22</v>
      </c>
      <c r="I15" s="4" t="n">
        <f aca="false">IF(F15&gt;0,H15/F15,0)</f>
        <v>0.203703703703704</v>
      </c>
      <c r="J15" s="5" t="n">
        <v>14866</v>
      </c>
      <c r="K15" s="5" t="n">
        <v>327056</v>
      </c>
      <c r="L15" s="6" t="n">
        <f aca="false">J15*Assumptions!$B$4</f>
        <v>4905.78</v>
      </c>
      <c r="M15" s="7" t="n">
        <f aca="false">G15*I15*L15</f>
        <v>571.043174603175</v>
      </c>
      <c r="N15" s="5" t="n">
        <v>152965</v>
      </c>
      <c r="O15" s="6" t="n">
        <f aca="false">IF(C15&gt;0,N15/C15,0)</f>
        <v>809.338624338624</v>
      </c>
      <c r="P15" s="8" t="n">
        <f aca="false">M15-O15</f>
        <v>-238.29544973545</v>
      </c>
      <c r="Q15" s="3" t="n">
        <v>95</v>
      </c>
      <c r="R15" s="3" t="n">
        <v>10</v>
      </c>
      <c r="S15" s="5" t="n">
        <v>11379</v>
      </c>
      <c r="T15" s="6" t="n">
        <f aca="false">IF(Q15&gt;0,(R15/Q15)*S15*Assumptions!$B$4,0)</f>
        <v>395.270526315789</v>
      </c>
      <c r="U15" s="3" t="n">
        <v>68</v>
      </c>
      <c r="V15" s="3" t="n">
        <v>10</v>
      </c>
      <c r="W15" s="5" t="n">
        <v>19834</v>
      </c>
      <c r="X15" s="6" t="n">
        <f aca="false">IF(U15&gt;0,(V15/U15)*W15*Assumptions!$B$4,0)</f>
        <v>962.532352941176</v>
      </c>
      <c r="Y15" s="3" t="n">
        <v>15</v>
      </c>
      <c r="Z15" s="3" t="n">
        <v>1</v>
      </c>
      <c r="AA15" s="5" t="n">
        <v>11267</v>
      </c>
      <c r="AB15" s="6" t="n">
        <f aca="false">IF(Y15&gt;0,(Z15/Y15)*AA15*Assumptions!$B$4,0)</f>
        <v>247.874</v>
      </c>
    </row>
    <row r="16" customFormat="false" ht="15" hidden="false" customHeight="false" outlineLevel="0" collapsed="false">
      <c r="A16" s="2" t="s">
        <v>50</v>
      </c>
      <c r="B16" s="3" t="s">
        <v>29</v>
      </c>
      <c r="C16" s="3" t="n">
        <v>136</v>
      </c>
      <c r="D16" s="3" t="n">
        <v>36</v>
      </c>
      <c r="E16" s="4" t="n">
        <f aca="false">D16/(F16+D16)</f>
        <v>0.285714285714286</v>
      </c>
      <c r="F16" s="3" t="n">
        <v>90</v>
      </c>
      <c r="G16" s="4" t="n">
        <f aca="false">IF(C16&gt;0,F16/C16,0)</f>
        <v>0.661764705882353</v>
      </c>
      <c r="H16" s="3" t="n">
        <v>15</v>
      </c>
      <c r="I16" s="4" t="n">
        <f aca="false">IF(F16&gt;0,H16/F16,0)</f>
        <v>0.166666666666667</v>
      </c>
      <c r="J16" s="5" t="n">
        <v>17318</v>
      </c>
      <c r="K16" s="5" t="n">
        <v>259767</v>
      </c>
      <c r="L16" s="6" t="n">
        <f aca="false">J16*Assumptions!$B$4</f>
        <v>5714.94</v>
      </c>
      <c r="M16" s="7" t="n">
        <f aca="false">G16*I16*L16</f>
        <v>630.324264705882</v>
      </c>
      <c r="N16" s="5" t="n">
        <v>110070</v>
      </c>
      <c r="O16" s="6" t="n">
        <f aca="false">IF(C16&gt;0,N16/C16,0)</f>
        <v>809.338235294118</v>
      </c>
      <c r="P16" s="8" t="n">
        <f aca="false">M16-O16</f>
        <v>-179.013970588235</v>
      </c>
      <c r="Q16" s="3" t="n">
        <v>68</v>
      </c>
      <c r="R16" s="3" t="n">
        <v>7</v>
      </c>
      <c r="S16" s="5" t="n">
        <v>20664</v>
      </c>
      <c r="T16" s="6" t="n">
        <f aca="false">IF(Q16&gt;0,(R16/Q16)*S16*Assumptions!$B$4,0)</f>
        <v>701.968235294118</v>
      </c>
      <c r="U16" s="3" t="n">
        <v>48</v>
      </c>
      <c r="V16" s="3" t="n">
        <v>6</v>
      </c>
      <c r="W16" s="5" t="n">
        <v>13419</v>
      </c>
      <c r="X16" s="6" t="n">
        <f aca="false">IF(U16&gt;0,(V16/U16)*W16*Assumptions!$B$4,0)</f>
        <v>553.53375</v>
      </c>
      <c r="Y16" s="3" t="n">
        <v>11</v>
      </c>
      <c r="Z16" s="3" t="n">
        <v>0</v>
      </c>
      <c r="AA16" s="5" t="n">
        <v>0</v>
      </c>
      <c r="AB16" s="6" t="n">
        <v>0</v>
      </c>
    </row>
    <row r="17" customFormat="false" ht="15" hidden="false" customHeight="false" outlineLevel="0" collapsed="false">
      <c r="A17" s="2" t="s">
        <v>51</v>
      </c>
      <c r="B17" s="3" t="s">
        <v>29</v>
      </c>
      <c r="C17" s="3" t="n">
        <v>129</v>
      </c>
      <c r="D17" s="3" t="n">
        <v>25</v>
      </c>
      <c r="E17" s="4" t="n">
        <f aca="false">D17/(F17+D17)</f>
        <v>0.208333333333333</v>
      </c>
      <c r="F17" s="3" t="n">
        <v>95</v>
      </c>
      <c r="G17" s="4" t="n">
        <f aca="false">IF(C17&gt;0,F17/C17,0)</f>
        <v>0.736434108527132</v>
      </c>
      <c r="H17" s="3" t="n">
        <v>14</v>
      </c>
      <c r="I17" s="4" t="n">
        <f aca="false">IF(F17&gt;0,H17/F17,0)</f>
        <v>0.147368421052632</v>
      </c>
      <c r="J17" s="5" t="n">
        <v>10534</v>
      </c>
      <c r="K17" s="5" t="n">
        <v>147480</v>
      </c>
      <c r="L17" s="6" t="n">
        <f aca="false">J17*Assumptions!$B$4</f>
        <v>3476.22</v>
      </c>
      <c r="M17" s="7" t="n">
        <f aca="false">G17*I17*L17</f>
        <v>377.264186046512</v>
      </c>
      <c r="N17" s="5" t="n">
        <v>104404</v>
      </c>
      <c r="O17" s="6" t="n">
        <f aca="false">IF(C17&gt;0,N17/C17,0)</f>
        <v>809.333333333333</v>
      </c>
      <c r="P17" s="8" t="n">
        <f aca="false">M17-O17</f>
        <v>-432.069147286822</v>
      </c>
      <c r="Q17" s="3" t="n">
        <v>59</v>
      </c>
      <c r="R17" s="3" t="n">
        <v>2</v>
      </c>
      <c r="S17" s="5" t="n">
        <v>15124</v>
      </c>
      <c r="T17" s="6" t="n">
        <f aca="false">IF(Q17&gt;0,(R17/Q17)*S17*Assumptions!$B$4,0)</f>
        <v>169.183728813559</v>
      </c>
      <c r="U17" s="3" t="n">
        <v>60</v>
      </c>
      <c r="V17" s="3" t="n">
        <v>11</v>
      </c>
      <c r="W17" s="5" t="n">
        <v>10502</v>
      </c>
      <c r="X17" s="6" t="n">
        <f aca="false">IF(U17&gt;0,(V17/U17)*W17*Assumptions!$B$4,0)</f>
        <v>635.371</v>
      </c>
      <c r="Y17" s="3" t="n">
        <v>7</v>
      </c>
      <c r="Z17" s="3" t="n">
        <v>1</v>
      </c>
      <c r="AA17" s="5" t="n">
        <v>1712</v>
      </c>
      <c r="AB17" s="6" t="n">
        <f aca="false">IF(Y17&gt;0,(Z17/Y17)*AA17*Assumptions!$B$4,0)</f>
        <v>80.7085714285714</v>
      </c>
    </row>
    <row r="18" customFormat="false" ht="15" hidden="false" customHeight="false" outlineLevel="0" collapsed="false">
      <c r="A18" s="2" t="s">
        <v>52</v>
      </c>
      <c r="B18" s="3" t="s">
        <v>34</v>
      </c>
      <c r="C18" s="3" t="n">
        <v>123</v>
      </c>
      <c r="D18" s="3" t="n">
        <v>16</v>
      </c>
      <c r="E18" s="4" t="n">
        <f aca="false">D18/(F18+D18)</f>
        <v>0.16</v>
      </c>
      <c r="F18" s="3" t="n">
        <v>84</v>
      </c>
      <c r="G18" s="4" t="n">
        <f aca="false">IF(C18&gt;0,F18/C18,0)</f>
        <v>0.682926829268293</v>
      </c>
      <c r="H18" s="3" t="n">
        <v>23</v>
      </c>
      <c r="I18" s="4" t="n">
        <f aca="false">IF(F18&gt;0,H18/F18,0)</f>
        <v>0.273809523809524</v>
      </c>
      <c r="J18" s="5" t="n">
        <v>16477</v>
      </c>
      <c r="K18" s="5" t="n">
        <v>378980</v>
      </c>
      <c r="L18" s="6" t="n">
        <f aca="false">J18*Assumptions!$B$4</f>
        <v>5437.41</v>
      </c>
      <c r="M18" s="7" t="n">
        <f aca="false">G18*I18*L18</f>
        <v>1016.75146341463</v>
      </c>
      <c r="N18" s="5" t="n">
        <v>129096</v>
      </c>
      <c r="O18" s="6" t="n">
        <f aca="false">IF(C18&gt;0,N18/C18,0)</f>
        <v>1049.56097560976</v>
      </c>
      <c r="P18" s="8" t="n">
        <f aca="false">M18-O18</f>
        <v>-32.8095121951219</v>
      </c>
      <c r="Q18" s="3" t="n">
        <v>54</v>
      </c>
      <c r="R18" s="3" t="n">
        <v>7</v>
      </c>
      <c r="S18" s="5" t="n">
        <v>18984</v>
      </c>
      <c r="T18" s="6" t="n">
        <f aca="false">IF(Q18&gt;0,(R18/Q18)*S18*Assumptions!$B$4,0)</f>
        <v>812.093333333333</v>
      </c>
      <c r="U18" s="3" t="n">
        <v>57</v>
      </c>
      <c r="V18" s="3" t="n">
        <v>13</v>
      </c>
      <c r="W18" s="5" t="n">
        <v>14107</v>
      </c>
      <c r="X18" s="6" t="n">
        <f aca="false">IF(U18&gt;0,(V18/U18)*W18*Assumptions!$B$4,0)</f>
        <v>1061.73736842105</v>
      </c>
      <c r="Y18" s="3" t="n">
        <v>2</v>
      </c>
      <c r="Z18" s="3" t="n">
        <v>0</v>
      </c>
      <c r="AA18" s="5" t="n">
        <v>0</v>
      </c>
      <c r="AB18" s="6" t="n">
        <v>0</v>
      </c>
    </row>
    <row r="19" customFormat="false" ht="15" hidden="false" customHeight="false" outlineLevel="0" collapsed="false">
      <c r="A19" s="2" t="s">
        <v>53</v>
      </c>
      <c r="B19" s="3" t="s">
        <v>34</v>
      </c>
      <c r="C19" s="3" t="n">
        <v>122</v>
      </c>
      <c r="D19" s="3" t="n">
        <v>16</v>
      </c>
      <c r="E19" s="4" t="n">
        <f aca="false">D19/(F19+D19)</f>
        <v>0.149532710280374</v>
      </c>
      <c r="F19" s="3" t="n">
        <v>91</v>
      </c>
      <c r="G19" s="4" t="n">
        <f aca="false">IF(C19&gt;0,F19/C19,0)</f>
        <v>0.745901639344262</v>
      </c>
      <c r="H19" s="3" t="n">
        <v>21</v>
      </c>
      <c r="I19" s="4" t="n">
        <f aca="false">IF(F19&gt;0,H19/F19,0)</f>
        <v>0.230769230769231</v>
      </c>
      <c r="J19" s="5" t="n">
        <v>18684</v>
      </c>
      <c r="K19" s="5" t="n">
        <v>373676</v>
      </c>
      <c r="L19" s="6" t="n">
        <f aca="false">J19*Assumptions!$B$4</f>
        <v>6165.72</v>
      </c>
      <c r="M19" s="7" t="n">
        <f aca="false">G19*I19*L19</f>
        <v>1061.31245901639</v>
      </c>
      <c r="N19" s="5" t="n">
        <v>128046</v>
      </c>
      <c r="O19" s="6" t="n">
        <f aca="false">IF(C19&gt;0,N19/C19,0)</f>
        <v>1049.55737704918</v>
      </c>
      <c r="P19" s="8" t="n">
        <f aca="false">M19-O19</f>
        <v>11.7550819672131</v>
      </c>
      <c r="Q19" s="3" t="n">
        <v>46</v>
      </c>
      <c r="R19" s="3" t="n">
        <v>5</v>
      </c>
      <c r="S19" s="5" t="n">
        <v>32035</v>
      </c>
      <c r="T19" s="6" t="n">
        <f aca="false">IF(Q19&gt;0,(R19/Q19)*S19*Assumptions!$B$4,0)</f>
        <v>1149.08152173913</v>
      </c>
      <c r="U19" s="3" t="n">
        <v>62</v>
      </c>
      <c r="V19" s="3" t="n">
        <v>13</v>
      </c>
      <c r="W19" s="5" t="n">
        <v>16171</v>
      </c>
      <c r="X19" s="6" t="n">
        <f aca="false">IF(U19&gt;0,(V19/U19)*W19*Assumptions!$B$4,0)</f>
        <v>1118.92887096774</v>
      </c>
      <c r="Y19" s="3" t="n">
        <v>8</v>
      </c>
      <c r="Z19" s="3" t="n">
        <v>2</v>
      </c>
      <c r="AA19" s="5" t="n">
        <v>14369</v>
      </c>
      <c r="AB19" s="6" t="n">
        <f aca="false">IF(Y19&gt;0,(Z19/Y19)*AA19*Assumptions!$B$4,0)</f>
        <v>1185.4425</v>
      </c>
    </row>
    <row r="20" customFormat="false" ht="15" hidden="false" customHeight="false" outlineLevel="0" collapsed="false">
      <c r="A20" s="2" t="s">
        <v>54</v>
      </c>
      <c r="B20" s="3" t="s">
        <v>29</v>
      </c>
      <c r="C20" s="3" t="n">
        <v>102</v>
      </c>
      <c r="D20" s="3" t="n">
        <v>29</v>
      </c>
      <c r="E20" s="4" t="n">
        <f aca="false">D20/(F20+D20)</f>
        <v>0.292929292929293</v>
      </c>
      <c r="F20" s="3" t="n">
        <v>70</v>
      </c>
      <c r="G20" s="4" t="n">
        <f aca="false">IF(C20&gt;0,F20/C20,0)</f>
        <v>0.686274509803922</v>
      </c>
      <c r="H20" s="3" t="n">
        <v>20</v>
      </c>
      <c r="I20" s="4" t="n">
        <f aca="false">IF(F20&gt;0,H20/F20,0)</f>
        <v>0.285714285714286</v>
      </c>
      <c r="J20" s="5" t="n">
        <v>13816</v>
      </c>
      <c r="K20" s="5" t="n">
        <v>262507</v>
      </c>
      <c r="L20" s="6" t="n">
        <f aca="false">J20*Assumptions!$B$4</f>
        <v>4559.28</v>
      </c>
      <c r="M20" s="7" t="n">
        <f aca="false">G20*I20*L20</f>
        <v>893.976470588235</v>
      </c>
      <c r="N20" s="5" t="n">
        <v>82552</v>
      </c>
      <c r="O20" s="6" t="n">
        <f aca="false">IF(C20&gt;0,N20/C20,0)</f>
        <v>809.333333333333</v>
      </c>
      <c r="P20" s="8" t="n">
        <f aca="false">M20-O20</f>
        <v>84.6431372549018</v>
      </c>
      <c r="Q20" s="3" t="n">
        <v>58</v>
      </c>
      <c r="R20" s="3" t="n">
        <v>12</v>
      </c>
      <c r="S20" s="5" t="n">
        <v>15586</v>
      </c>
      <c r="T20" s="6" t="n">
        <f aca="false">IF(Q20&gt;0,(R20/Q20)*S20*Assumptions!$B$4,0)</f>
        <v>1064.1475862069</v>
      </c>
      <c r="U20" s="3" t="n">
        <v>30</v>
      </c>
      <c r="V20" s="3" t="n">
        <v>6</v>
      </c>
      <c r="W20" s="5" t="n">
        <v>13670</v>
      </c>
      <c r="X20" s="6" t="n">
        <f aca="false">IF(U20&gt;0,(V20/U20)*W20*Assumptions!$B$4,0)</f>
        <v>902.22</v>
      </c>
      <c r="Y20" s="3" t="n">
        <v>8</v>
      </c>
      <c r="Z20" s="3" t="n">
        <v>2</v>
      </c>
      <c r="AA20" s="5" t="n">
        <v>4522</v>
      </c>
      <c r="AB20" s="6" t="n">
        <f aca="false">IF(Y20&gt;0,(Z20/Y20)*AA20*Assumptions!$B$4,0)</f>
        <v>373.065</v>
      </c>
    </row>
    <row r="21" customFormat="false" ht="15" hidden="false" customHeight="false" outlineLevel="0" collapsed="false">
      <c r="A21" s="2" t="s">
        <v>55</v>
      </c>
      <c r="B21" s="3" t="s">
        <v>34</v>
      </c>
      <c r="C21" s="3" t="n">
        <v>99</v>
      </c>
      <c r="D21" s="3" t="n">
        <v>13</v>
      </c>
      <c r="E21" s="4" t="n">
        <f aca="false">D21/(F21+D21)</f>
        <v>0.147727272727273</v>
      </c>
      <c r="F21" s="3" t="n">
        <v>75</v>
      </c>
      <c r="G21" s="4" t="n">
        <f aca="false">IF(C21&gt;0,F21/C21,0)</f>
        <v>0.757575757575758</v>
      </c>
      <c r="H21" s="3" t="n">
        <v>9</v>
      </c>
      <c r="I21" s="4" t="n">
        <f aca="false">IF(F21&gt;0,H21/F21,0)</f>
        <v>0.12</v>
      </c>
      <c r="J21" s="5" t="n">
        <v>14829</v>
      </c>
      <c r="K21" s="5" t="n">
        <v>133464</v>
      </c>
      <c r="L21" s="6" t="n">
        <f aca="false">J21*Assumptions!$B$4</f>
        <v>4893.57</v>
      </c>
      <c r="M21" s="7" t="n">
        <f aca="false">G21*I21*L21</f>
        <v>444.87</v>
      </c>
      <c r="N21" s="5" t="n">
        <v>103906</v>
      </c>
      <c r="O21" s="6" t="n">
        <f aca="false">IF(C21&gt;0,N21/C21,0)</f>
        <v>1049.55555555556</v>
      </c>
      <c r="P21" s="8" t="n">
        <f aca="false">M21-O21</f>
        <v>-604.685555555556</v>
      </c>
      <c r="Q21" s="3" t="n">
        <v>54</v>
      </c>
      <c r="R21" s="3" t="n">
        <v>5</v>
      </c>
      <c r="S21" s="5" t="n">
        <v>13895</v>
      </c>
      <c r="T21" s="6" t="n">
        <f aca="false">IF(Q21&gt;0,(R21/Q21)*S21*Assumptions!$B$4,0)</f>
        <v>424.569444444444</v>
      </c>
      <c r="U21" s="3" t="n">
        <v>37</v>
      </c>
      <c r="V21" s="3" t="n">
        <v>4</v>
      </c>
      <c r="W21" s="5" t="n">
        <v>15998</v>
      </c>
      <c r="X21" s="6" t="n">
        <f aca="false">IF(U21&gt;0,(V21/U21)*W21*Assumptions!$B$4,0)</f>
        <v>570.73945945946</v>
      </c>
      <c r="Y21" s="3" t="n">
        <v>5</v>
      </c>
      <c r="Z21" s="3" t="n">
        <v>0</v>
      </c>
      <c r="AA21" s="5" t="n">
        <v>0</v>
      </c>
      <c r="AB21" s="6" t="n">
        <v>0</v>
      </c>
    </row>
    <row r="22" customFormat="false" ht="15" hidden="false" customHeight="false" outlineLevel="0" collapsed="false">
      <c r="A22" s="2" t="s">
        <v>56</v>
      </c>
      <c r="B22" s="3" t="s">
        <v>57</v>
      </c>
      <c r="C22" s="3" t="n">
        <v>78</v>
      </c>
      <c r="D22" s="3" t="n">
        <v>11</v>
      </c>
      <c r="E22" s="4" t="n">
        <f aca="false">D22/(F22+D22)</f>
        <v>0.180327868852459</v>
      </c>
      <c r="F22" s="3" t="n">
        <v>50</v>
      </c>
      <c r="G22" s="4" t="n">
        <f aca="false">IF(C22&gt;0,F22/C22,0)</f>
        <v>0.641025641025641</v>
      </c>
      <c r="H22" s="3" t="n">
        <v>12</v>
      </c>
      <c r="I22" s="4" t="n">
        <f aca="false">IF(F22&gt;0,H22/F22,0)</f>
        <v>0.24</v>
      </c>
      <c r="J22" s="5" t="n">
        <v>17676</v>
      </c>
      <c r="K22" s="5" t="n">
        <v>212117</v>
      </c>
      <c r="L22" s="6" t="n">
        <f aca="false">J22*Assumptions!$B$4</f>
        <v>5833.08</v>
      </c>
      <c r="M22" s="7" t="n">
        <f aca="false">G22*I22*L22</f>
        <v>897.396923076923</v>
      </c>
      <c r="N22" s="5" t="n">
        <v>20035</v>
      </c>
      <c r="O22" s="6" t="n">
        <f aca="false">IF(C22&gt;0,N22/C22,0)</f>
        <v>256.858974358974</v>
      </c>
      <c r="P22" s="8" t="n">
        <f aca="false">M22-O22</f>
        <v>640.537948717949</v>
      </c>
      <c r="Q22" s="3" t="n">
        <v>52</v>
      </c>
      <c r="R22" s="3" t="n">
        <v>5</v>
      </c>
      <c r="S22" s="5" t="n">
        <v>18421</v>
      </c>
      <c r="T22" s="6" t="n">
        <f aca="false">IF(Q22&gt;0,(R22/Q22)*S22*Assumptions!$B$4,0)</f>
        <v>584.5125</v>
      </c>
      <c r="U22" s="3" t="n">
        <v>24</v>
      </c>
      <c r="V22" s="3" t="n">
        <v>7</v>
      </c>
      <c r="W22" s="5" t="n">
        <v>17144</v>
      </c>
      <c r="X22" s="6" t="n">
        <f aca="false">IF(U22&gt;0,(V22/U22)*W22*Assumptions!$B$4,0)</f>
        <v>1650.11</v>
      </c>
      <c r="Y22" s="3" t="n">
        <v>2</v>
      </c>
      <c r="Z22" s="3" t="n">
        <v>0</v>
      </c>
      <c r="AA22" s="5" t="n">
        <v>0</v>
      </c>
      <c r="AB22" s="6" t="n">
        <v>0</v>
      </c>
    </row>
    <row r="23" customFormat="false" ht="15" hidden="false" customHeight="false" outlineLevel="0" collapsed="false">
      <c r="A23" s="2" t="s">
        <v>58</v>
      </c>
      <c r="B23" s="3" t="s">
        <v>34</v>
      </c>
      <c r="C23" s="3" t="n">
        <v>67</v>
      </c>
      <c r="D23" s="3" t="n">
        <v>19</v>
      </c>
      <c r="E23" s="4" t="n">
        <f aca="false">D23/(F23+D23)</f>
        <v>0.358490566037736</v>
      </c>
      <c r="F23" s="3" t="n">
        <v>34</v>
      </c>
      <c r="G23" s="4" t="n">
        <f aca="false">IF(C23&gt;0,F23/C23,0)</f>
        <v>0.507462686567164</v>
      </c>
      <c r="H23" s="3" t="n">
        <v>3</v>
      </c>
      <c r="I23" s="4" t="n">
        <f aca="false">IF(F23&gt;0,H23/F23,0)</f>
        <v>0.0882352941176471</v>
      </c>
      <c r="J23" s="5" t="n">
        <v>7722</v>
      </c>
      <c r="K23" s="5" t="n">
        <v>23166</v>
      </c>
      <c r="L23" s="6" t="n">
        <f aca="false">J23*Assumptions!$B$4</f>
        <v>2548.26</v>
      </c>
      <c r="M23" s="7" t="n">
        <f aca="false">G23*I23*L23</f>
        <v>114.101194029851</v>
      </c>
      <c r="N23" s="5" t="n">
        <v>70320</v>
      </c>
      <c r="O23" s="6" t="n">
        <f aca="false">IF(C23&gt;0,N23/C23,0)</f>
        <v>1049.55223880597</v>
      </c>
      <c r="P23" s="8" t="n">
        <f aca="false">M23-O23</f>
        <v>-935.451044776119</v>
      </c>
      <c r="Q23" s="3" t="n">
        <v>33</v>
      </c>
      <c r="R23" s="3" t="n">
        <v>2</v>
      </c>
      <c r="S23" s="5" t="n">
        <v>8725</v>
      </c>
      <c r="T23" s="6" t="n">
        <f aca="false">IF(Q23&gt;0,(R23/Q23)*S23*Assumptions!$B$4,0)</f>
        <v>174.5</v>
      </c>
      <c r="U23" s="3" t="n">
        <v>29</v>
      </c>
      <c r="V23" s="3" t="n">
        <v>0</v>
      </c>
      <c r="W23" s="5" t="n">
        <v>0</v>
      </c>
      <c r="X23" s="6" t="n">
        <v>0</v>
      </c>
      <c r="Y23" s="3" t="n">
        <v>4</v>
      </c>
      <c r="Z23" s="3" t="n">
        <v>1</v>
      </c>
      <c r="AA23" s="5" t="n">
        <v>5716</v>
      </c>
      <c r="AB23" s="6" t="n">
        <f aca="false">IF(Y23&gt;0,(Z23/Y23)*AA23*Assumptions!$B$4,0)</f>
        <v>471.57</v>
      </c>
    </row>
    <row r="24" customFormat="false" ht="15" hidden="false" customHeight="false" outlineLevel="0" collapsed="false">
      <c r="A24" s="2" t="s">
        <v>59</v>
      </c>
      <c r="B24" s="3" t="s">
        <v>32</v>
      </c>
      <c r="C24" s="3" t="n">
        <v>63</v>
      </c>
      <c r="D24" s="3" t="n">
        <v>34</v>
      </c>
      <c r="E24" s="4" t="n">
        <f aca="false">D24/(F24+D24)</f>
        <v>0.653846153846154</v>
      </c>
      <c r="F24" s="3" t="n">
        <v>18</v>
      </c>
      <c r="G24" s="4" t="n">
        <f aca="false">IF(C24&gt;0,F24/C24,0)</f>
        <v>0.285714285714286</v>
      </c>
      <c r="H24" s="3" t="n">
        <v>6</v>
      </c>
      <c r="I24" s="4" t="n">
        <f aca="false">IF(F24&gt;0,H24/F24,0)</f>
        <v>0.333333333333333</v>
      </c>
      <c r="J24" s="5" t="n">
        <v>6767</v>
      </c>
      <c r="K24" s="5" t="n">
        <v>40601</v>
      </c>
      <c r="L24" s="6" t="n">
        <f aca="false">J24*Assumptions!$B$4</f>
        <v>2233.11</v>
      </c>
      <c r="M24" s="7" t="n">
        <f aca="false">G24*I24*L24</f>
        <v>212.677142857143</v>
      </c>
      <c r="N24" s="5" t="n">
        <v>50762</v>
      </c>
      <c r="O24" s="6" t="n">
        <f aca="false">IF(C24&gt;0,N24/C24,0)</f>
        <v>805.746031746032</v>
      </c>
      <c r="P24" s="8" t="n">
        <f aca="false">M24-O24</f>
        <v>-593.068888888889</v>
      </c>
      <c r="Q24" s="3" t="n">
        <v>9</v>
      </c>
      <c r="R24" s="3" t="n">
        <v>0</v>
      </c>
      <c r="S24" s="5" t="n">
        <v>0</v>
      </c>
      <c r="T24" s="6" t="n">
        <v>0</v>
      </c>
      <c r="U24" s="3" t="n">
        <v>47</v>
      </c>
      <c r="V24" s="3" t="n">
        <v>6</v>
      </c>
      <c r="W24" s="5" t="n">
        <v>6767</v>
      </c>
      <c r="X24" s="6" t="n">
        <f aca="false">IF(U24&gt;0,(V24/U24)*W24*Assumptions!$B$4,0)</f>
        <v>285.077872340426</v>
      </c>
      <c r="Y24" s="3" t="n">
        <v>3</v>
      </c>
      <c r="Z24" s="3" t="n">
        <v>0</v>
      </c>
      <c r="AA24" s="5" t="n">
        <v>0</v>
      </c>
      <c r="AB24" s="6" t="n">
        <v>0</v>
      </c>
    </row>
    <row r="25" customFormat="false" ht="15" hidden="false" customHeight="false" outlineLevel="0" collapsed="false">
      <c r="A25" s="2" t="s">
        <v>60</v>
      </c>
      <c r="B25" s="3" t="s">
        <v>42</v>
      </c>
      <c r="C25" s="3" t="n">
        <v>53</v>
      </c>
      <c r="D25" s="3" t="n">
        <v>8</v>
      </c>
      <c r="E25" s="4" t="n">
        <f aca="false">D25/(F25+D25)</f>
        <v>0.181818181818182</v>
      </c>
      <c r="F25" s="3" t="n">
        <v>36</v>
      </c>
      <c r="G25" s="4" t="n">
        <f aca="false">IF(C25&gt;0,F25/C25,0)</f>
        <v>0.679245283018868</v>
      </c>
      <c r="H25" s="3" t="n">
        <v>7</v>
      </c>
      <c r="I25" s="4" t="n">
        <f aca="false">IF(F25&gt;0,H25/F25,0)</f>
        <v>0.194444444444444</v>
      </c>
      <c r="J25" s="5" t="n">
        <v>5061</v>
      </c>
      <c r="K25" s="5" t="n">
        <v>35429</v>
      </c>
      <c r="L25" s="6" t="n">
        <f aca="false">J25*Assumptions!$B$4</f>
        <v>1670.13</v>
      </c>
      <c r="M25" s="7" t="n">
        <f aca="false">G25*I25*L25</f>
        <v>220.58320754717</v>
      </c>
      <c r="N25" s="5" t="n">
        <v>53304</v>
      </c>
      <c r="O25" s="6" t="n">
        <f aca="false">IF(C25&gt;0,N25/C25,0)</f>
        <v>1005.7358490566</v>
      </c>
      <c r="P25" s="8" t="n">
        <f aca="false">M25-O25</f>
        <v>-785.152641509434</v>
      </c>
      <c r="Q25" s="3" t="n">
        <v>18</v>
      </c>
      <c r="R25" s="3" t="n">
        <v>1</v>
      </c>
      <c r="S25" s="5" t="n">
        <v>5458</v>
      </c>
      <c r="T25" s="6" t="n">
        <f aca="false">IF(Q25&gt;0,(R25/Q25)*S25*Assumptions!$B$4,0)</f>
        <v>100.063333333333</v>
      </c>
      <c r="U25" s="3" t="n">
        <v>34</v>
      </c>
      <c r="V25" s="3" t="n">
        <v>6</v>
      </c>
      <c r="W25" s="5" t="n">
        <v>4995</v>
      </c>
      <c r="X25" s="6" t="n">
        <f aca="false">IF(U25&gt;0,(V25/U25)*W25*Assumptions!$B$4,0)</f>
        <v>290.885294117647</v>
      </c>
      <c r="Y25" s="3" t="n">
        <v>0</v>
      </c>
      <c r="Z25" s="3" t="n">
        <v>0</v>
      </c>
      <c r="AA25" s="5" t="n">
        <v>0</v>
      </c>
      <c r="AB25" s="6" t="n">
        <v>0</v>
      </c>
    </row>
    <row r="26" customFormat="false" ht="15" hidden="false" customHeight="false" outlineLevel="0" collapsed="false">
      <c r="A26" s="2" t="s">
        <v>61</v>
      </c>
      <c r="B26" s="3" t="s">
        <v>38</v>
      </c>
      <c r="C26" s="3" t="n">
        <v>40</v>
      </c>
      <c r="D26" s="3" t="n">
        <v>10</v>
      </c>
      <c r="E26" s="4" t="n">
        <f aca="false">D26/(F26+D26)</f>
        <v>0.285714285714286</v>
      </c>
      <c r="F26" s="3" t="n">
        <v>25</v>
      </c>
      <c r="G26" s="4" t="n">
        <f aca="false">IF(C26&gt;0,F26/C26,0)</f>
        <v>0.625</v>
      </c>
      <c r="H26" s="3" t="n">
        <v>6</v>
      </c>
      <c r="I26" s="4" t="n">
        <f aca="false">IF(F26&gt;0,H26/F26,0)</f>
        <v>0.24</v>
      </c>
      <c r="J26" s="5" t="n">
        <v>7589</v>
      </c>
      <c r="K26" s="5" t="n">
        <v>45534</v>
      </c>
      <c r="L26" s="6" t="n">
        <f aca="false">J26*Assumptions!$B$4</f>
        <v>2504.37</v>
      </c>
      <c r="M26" s="7" t="n">
        <f aca="false">G26*I26*L26</f>
        <v>375.6555</v>
      </c>
      <c r="N26" s="5" t="n">
        <v>55547</v>
      </c>
      <c r="O26" s="6" t="n">
        <f aca="false">IF(C26&gt;0,N26/C26,0)</f>
        <v>1388.675</v>
      </c>
      <c r="P26" s="8" t="n">
        <f aca="false">M26-O26</f>
        <v>-1013.0195</v>
      </c>
      <c r="Q26" s="3" t="n">
        <v>10</v>
      </c>
      <c r="R26" s="3" t="n">
        <v>1</v>
      </c>
      <c r="S26" s="5" t="n">
        <v>10512</v>
      </c>
      <c r="T26" s="6" t="n">
        <f aca="false">IF(Q26&gt;0,(R26/Q26)*S26*Assumptions!$B$4,0)</f>
        <v>346.896</v>
      </c>
      <c r="U26" s="3" t="n">
        <v>24</v>
      </c>
      <c r="V26" s="3" t="n">
        <v>4</v>
      </c>
      <c r="W26" s="5" t="n">
        <v>6769</v>
      </c>
      <c r="X26" s="6" t="n">
        <f aca="false">IF(U26&gt;0,(V26/U26)*W26*Assumptions!$B$4,0)</f>
        <v>372.295</v>
      </c>
      <c r="Y26" s="3" t="n">
        <v>5</v>
      </c>
      <c r="Z26" s="3" t="n">
        <v>1</v>
      </c>
      <c r="AA26" s="5" t="n">
        <v>7947</v>
      </c>
      <c r="AB26" s="6" t="n">
        <f aca="false">IF(Y26&gt;0,(Z26/Y26)*AA26*Assumptions!$B$4,0)</f>
        <v>524.502</v>
      </c>
    </row>
    <row r="27" customFormat="false" ht="15" hidden="false" customHeight="false" outlineLevel="0" collapsed="false">
      <c r="A27" s="2" t="s">
        <v>62</v>
      </c>
      <c r="B27" s="3" t="s">
        <v>36</v>
      </c>
      <c r="C27" s="3" t="n">
        <v>39</v>
      </c>
      <c r="D27" s="3" t="n">
        <v>0</v>
      </c>
      <c r="E27" s="4" t="n">
        <f aca="false">D27/(F27+D27)</f>
        <v>0</v>
      </c>
      <c r="F27" s="3" t="n">
        <v>5</v>
      </c>
      <c r="G27" s="4" t="n">
        <f aca="false">IF(C27&gt;0,F27/C27,0)</f>
        <v>0.128205128205128</v>
      </c>
      <c r="H27" s="3" t="n">
        <v>1</v>
      </c>
      <c r="I27" s="4" t="n">
        <f aca="false">IF(F27&gt;0,H27/F27,0)</f>
        <v>0.2</v>
      </c>
      <c r="J27" s="5" t="n">
        <v>0</v>
      </c>
      <c r="K27" s="5" t="n">
        <v>0</v>
      </c>
      <c r="L27" s="6" t="n">
        <f aca="false">J27*Assumptions!$B$4</f>
        <v>0</v>
      </c>
      <c r="M27" s="7" t="n">
        <f aca="false">G27*I27*L27</f>
        <v>0</v>
      </c>
      <c r="N27" s="5" t="n">
        <v>31255</v>
      </c>
      <c r="O27" s="6" t="n">
        <f aca="false">IF(C27&gt;0,N27/C27,0)</f>
        <v>801.410256410257</v>
      </c>
      <c r="P27" s="8" t="n">
        <f aca="false">M27-O27</f>
        <v>-801.410256410257</v>
      </c>
      <c r="Q27" s="3" t="n">
        <v>26</v>
      </c>
      <c r="R27" s="3" t="n">
        <v>1</v>
      </c>
      <c r="S27" s="5" t="n">
        <v>0</v>
      </c>
      <c r="T27" s="6" t="n">
        <f aca="false">IF(Q27&gt;0,(R27/Q27)*S27*Assumptions!$B$4,0)</f>
        <v>0</v>
      </c>
      <c r="U27" s="3" t="n">
        <v>7</v>
      </c>
      <c r="V27" s="3" t="n">
        <v>0</v>
      </c>
      <c r="W27" s="5" t="n">
        <v>0</v>
      </c>
      <c r="X27" s="6" t="n">
        <v>0</v>
      </c>
      <c r="Y27" s="3" t="n">
        <v>5</v>
      </c>
      <c r="Z27" s="3" t="n">
        <v>0</v>
      </c>
      <c r="AA27" s="5" t="n">
        <v>0</v>
      </c>
      <c r="AB27" s="6" t="n">
        <v>0</v>
      </c>
    </row>
    <row r="28" customFormat="false" ht="15" hidden="false" customHeight="false" outlineLevel="0" collapsed="false">
      <c r="A28" s="2" t="s">
        <v>63</v>
      </c>
      <c r="B28" s="3" t="s">
        <v>29</v>
      </c>
      <c r="C28" s="3" t="n">
        <v>20</v>
      </c>
      <c r="D28" s="3" t="n">
        <v>5</v>
      </c>
      <c r="E28" s="4" t="n">
        <f aca="false">D28/(F28+D28)</f>
        <v>0.277777777777778</v>
      </c>
      <c r="F28" s="3" t="n">
        <v>13</v>
      </c>
      <c r="G28" s="4" t="n">
        <f aca="false">IF(C28&gt;0,F28/C28,0)</f>
        <v>0.65</v>
      </c>
      <c r="H28" s="3" t="n">
        <v>1</v>
      </c>
      <c r="I28" s="4" t="n">
        <f aca="false">IF(F28&gt;0,H28/F28,0)</f>
        <v>0.0769230769230769</v>
      </c>
      <c r="J28" s="5" t="n">
        <v>8709</v>
      </c>
      <c r="K28" s="5" t="n">
        <v>8709</v>
      </c>
      <c r="L28" s="6" t="n">
        <f aca="false">J28*Assumptions!$B$4</f>
        <v>2873.97</v>
      </c>
      <c r="M28" s="7" t="n">
        <f aca="false">G28*I28*L28</f>
        <v>143.6985</v>
      </c>
      <c r="N28" s="5" t="n">
        <v>16187</v>
      </c>
      <c r="O28" s="6" t="n">
        <f aca="false">IF(C28&gt;0,N28/C28,0)</f>
        <v>809.35</v>
      </c>
      <c r="P28" s="8" t="n">
        <f aca="false">M28-O28</f>
        <v>-665.6515</v>
      </c>
      <c r="Q28" s="3" t="n">
        <v>6</v>
      </c>
      <c r="R28" s="3" t="n">
        <v>0</v>
      </c>
      <c r="S28" s="5" t="n">
        <v>0</v>
      </c>
      <c r="T28" s="6" t="n">
        <v>0</v>
      </c>
      <c r="U28" s="3" t="n">
        <v>13</v>
      </c>
      <c r="V28" s="3" t="n">
        <v>1</v>
      </c>
      <c r="W28" s="5" t="n">
        <v>8709</v>
      </c>
      <c r="X28" s="6" t="n">
        <f aca="false">IF(U28&gt;0,(V28/U28)*W28*Assumptions!$B$4,0)</f>
        <v>221.074615384615</v>
      </c>
      <c r="Y28" s="3" t="n">
        <v>1</v>
      </c>
      <c r="Z28" s="3" t="n">
        <v>0</v>
      </c>
      <c r="AA28" s="5" t="n">
        <v>0</v>
      </c>
      <c r="AB28" s="6" t="n">
        <v>0</v>
      </c>
    </row>
    <row r="29" customFormat="false" ht="15" hidden="false" customHeight="false" outlineLevel="0" collapsed="false">
      <c r="A29" s="2" t="s">
        <v>64</v>
      </c>
      <c r="B29" s="3" t="s">
        <v>38</v>
      </c>
      <c r="C29" s="3" t="n">
        <v>0</v>
      </c>
      <c r="D29" s="3" t="n">
        <v>0</v>
      </c>
      <c r="E29" s="4" t="n">
        <v>0</v>
      </c>
      <c r="F29" s="3" t="n">
        <v>0</v>
      </c>
      <c r="G29" s="4" t="n">
        <f aca="false">IF(C29&gt;0,F29/C29,0)</f>
        <v>0</v>
      </c>
      <c r="H29" s="3" t="n">
        <v>0</v>
      </c>
      <c r="I29" s="4" t="n">
        <f aca="false">IF(F29&gt;0,H29/F29,0)</f>
        <v>0</v>
      </c>
      <c r="J29" s="5" t="n">
        <v>0</v>
      </c>
      <c r="K29" s="5" t="n">
        <v>0</v>
      </c>
      <c r="L29" s="6" t="n">
        <f aca="false">J29*Assumptions!$B$4</f>
        <v>0</v>
      </c>
      <c r="M29" s="7" t="n">
        <f aca="false">G29*I29*L29</f>
        <v>0</v>
      </c>
      <c r="N29" s="5" t="n">
        <v>0</v>
      </c>
      <c r="O29" s="6" t="n">
        <f aca="false">IF(C29&gt;0,N29/C29,0)</f>
        <v>0</v>
      </c>
      <c r="P29" s="8" t="n">
        <f aca="false">M29-O29</f>
        <v>0</v>
      </c>
      <c r="Q29" s="3" t="n">
        <v>0</v>
      </c>
      <c r="R29" s="3" t="n">
        <v>0</v>
      </c>
      <c r="S29" s="5" t="n">
        <v>0</v>
      </c>
      <c r="T29" s="6" t="n">
        <v>0</v>
      </c>
      <c r="U29" s="3" t="n">
        <v>0</v>
      </c>
      <c r="V29" s="3" t="n">
        <v>0</v>
      </c>
      <c r="W29" s="5" t="n">
        <v>0</v>
      </c>
      <c r="X29" s="6" t="n">
        <v>0</v>
      </c>
      <c r="Y29" s="3" t="n">
        <v>0</v>
      </c>
      <c r="Z29" s="3" t="n">
        <v>0</v>
      </c>
      <c r="AA29" s="5" t="n">
        <v>0</v>
      </c>
      <c r="AB29" s="6" t="n">
        <v>0</v>
      </c>
    </row>
    <row r="30" customFormat="false" ht="15" hidden="false" customHeight="false" outlineLevel="0" collapsed="false">
      <c r="A30" s="9" t="s">
        <v>65</v>
      </c>
      <c r="B30" s="10"/>
      <c r="C30" s="10" t="n">
        <f aca="false">SUM(C2:C29)</f>
        <v>8490</v>
      </c>
      <c r="D30" s="10" t="n">
        <f aca="false">SUM(D2:D29)</f>
        <v>1892</v>
      </c>
      <c r="E30" s="11" t="n">
        <f aca="false">D30/(F30+D30)</f>
        <v>0.252839770145664</v>
      </c>
      <c r="F30" s="10" t="n">
        <f aca="false">SUM(F2:F29)</f>
        <v>5591</v>
      </c>
      <c r="G30" s="11" t="n">
        <f aca="false">IF(C30&gt;0,F30/C30,0)</f>
        <v>0.658539458186101</v>
      </c>
      <c r="H30" s="10" t="n">
        <f aca="false">SUM(H2:H29)</f>
        <v>1034</v>
      </c>
      <c r="I30" s="11" t="n">
        <f aca="false">IF(F30&gt;0,H30/F30,0)</f>
        <v>0.184940082275085</v>
      </c>
      <c r="J30" s="12" t="n">
        <f aca="false">IF(H30&gt;0,K30/H30,0)</f>
        <v>12760.4352030948</v>
      </c>
      <c r="K30" s="12" t="n">
        <f aca="false">SUM(K2:K29)</f>
        <v>13194290</v>
      </c>
      <c r="L30" s="12" t="n">
        <f aca="false">J30*Assumptions!$B$4</f>
        <v>4210.94361702128</v>
      </c>
      <c r="M30" s="13" t="n">
        <f aca="false">G30*I30*L30</f>
        <v>512.852261484099</v>
      </c>
      <c r="N30" s="12" t="n">
        <f aca="false">SUM(N2:N29)</f>
        <v>7614796</v>
      </c>
      <c r="O30" s="12" t="n">
        <f aca="false">IF(C30&gt;0,N30/C30,0)</f>
        <v>896.913545347468</v>
      </c>
      <c r="P30" s="14" t="n">
        <f aca="false">M30-O30</f>
        <v>-384.061283863369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</sheetData>
  <autoFilter ref="A1:AB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</cols>
  <sheetData>
    <row r="1" customFormat="false" ht="17.35" hidden="false" customHeight="false" outlineLevel="0" collapsed="false">
      <c r="A1" s="15" t="s">
        <v>66</v>
      </c>
    </row>
    <row r="3" customFormat="false" ht="15" hidden="false" customHeight="false" outlineLevel="0" collapsed="false">
      <c r="A3" s="16" t="s">
        <v>67</v>
      </c>
      <c r="B3" s="17" t="n">
        <v>0.67</v>
      </c>
    </row>
    <row r="4" customFormat="false" ht="15" hidden="false" customHeight="false" outlineLevel="0" collapsed="false">
      <c r="A4" s="16" t="s">
        <v>68</v>
      </c>
      <c r="B4" s="18" t="n">
        <f aca="false">1-B3</f>
        <v>0.33</v>
      </c>
    </row>
    <row r="5" customFormat="false" ht="15" hidden="false" customHeight="false" outlineLevel="0" collapsed="false">
      <c r="A5" s="16" t="s">
        <v>69</v>
      </c>
      <c r="B5" s="19" t="s">
        <v>70</v>
      </c>
    </row>
    <row r="6" customFormat="false" ht="15" hidden="false" customHeight="false" outlineLevel="0" collapsed="false">
      <c r="A6" s="16" t="s">
        <v>71</v>
      </c>
      <c r="B6" s="0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2026-04-06T19:01:46Z</dcterms:created>
  <dc:creator>openpyxl</dc:creator>
  <dc:description/>
  <dc:language>en-US</dc:language>
  <cp:lastModifiedBy/>
  <dcterms:modified xsi:type="dcterms:W3CDTF">2026-04-06T19:01:46Z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