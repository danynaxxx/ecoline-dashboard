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💰 Account Summary" sheetId="2" state="visible" r:id="rId4"/>
    <sheet name="📋 All Campaigns" sheetId="3" state="visible" r:id="rId5"/>
    <sheet name="🏆 Top Performers" sheetId="4" state="visible" r:id="rId6"/>
    <sheet name="🔥 Money Burners" sheetId="5" state="visible" r:id="rId7"/>
    <sheet name="💡 Recommendations" sheetId="6" state="visible" r:id="rId8"/>
    <sheet name="🗺️ Geo Performa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<sst xmlns="http://schemas.openxmlformats.org/spreadsheetml/2006/main" count="1468" uniqueCount="537">
  <si>
    <t xml:space="preserve">ECOLINE WINDOWS — META ADS ANALYSIS  |  Apr 2024 – Apr 2026</t>
  </si>
  <si>
    <t xml:space="preserve">Total Meta Spend
$5,454,252</t>
  </si>
  <si>
    <t xml:space="preserve">Total FB Leads
(BQ clean)
63,545</t>
  </si>
  <si>
    <t xml:space="preserve">Blended CPL
$86</t>
  </si>
  <si>
    <t xml:space="preserve">Total Sales (FB)
1,547</t>
  </si>
  <si>
    <t xml:space="preserve">Total Revenue
$16.7M</t>
  </si>
  <si>
    <t xml:space="preserve">Best ROAS Month
4.0x
(Mar 2025)</t>
  </si>
  <si>
    <t xml:space="preserve">Worst ROAS Month
2.5x
(Nov 2025)</t>
  </si>
  <si>
    <t xml:space="preserve">▶  MONTHLY FACEBOOK ROI  (from BigQuery — source of truth)</t>
  </si>
  <si>
    <t xml:space="preserve">Month</t>
  </si>
  <si>
    <t xml:space="preserve">Leads (Clean)</t>
  </si>
  <si>
    <t xml:space="preserve">Appointments</t>
  </si>
  <si>
    <t xml:space="preserve">Sold</t>
  </si>
  <si>
    <t xml:space="preserve">Revenue (CAD)</t>
  </si>
  <si>
    <t xml:space="preserve">Spend (CAD)</t>
  </si>
  <si>
    <t xml:space="preserve">Cost/Sale</t>
  </si>
  <si>
    <t xml:space="preserve">Appt %</t>
  </si>
  <si>
    <t xml:space="preserve">Close %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</si>
  <si>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</si>
  <si>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</si>
  <si>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</si>
  <si>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</si>
  <si>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</si>
  <si>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</si>
  <si>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</si>
  <si>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</si>
  <si>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</si>
  <si>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</si>
  <si>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</si>
  <si>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</si>
  <si>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</si>
  <si>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</si>
  <si>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</si>
  <si>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</si>
  <si>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</si>
  <si>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</si>
  <si>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</si>
  <si>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</si>
  <si>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</si>
  <si>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</si>
  <si>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</si>
  <si>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</si>
  <si>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TOTAL</t>
  </si>
  <si>
    <t xml:space="preserve">🔑  KEY FINDINGS</t>
  </si>
  <si>
    <t xml:space="preserve">✅  Best ROAS periods: Mar–Apr 2025 (3.8–4.0x) at ~$290–308K/month spend</t>
  </si>
  <si>
    <t xml:space="preserve">⚠️  Scaling to $427–541K/month (Aug–Oct 2025, Mar 2026) DID NOT scale revenue proportionally</t>
  </si>
  <si>
    <t xml:space="preserve">📉  ROAS drops sharply above ~$350K/month: saturation effect across all accounts</t>
  </si>
  <si>
    <t xml:space="preserve">🔥  2024 spend data missing in BQ (pre-tracking), but lead/sale data shows strong earlier performance</t>
  </si>
  <si>
    <t xml:space="preserve">💡  Best cost/sale: ~$3,100 (Mar 2025). Worst: ~$5,133 (Nov 2025) — 65% more expensive per sale</t>
  </si>
  <si>
    <t xml:space="preserve">🎯  Appointment rate stable 21–25% across all periods — conversion at sales stage is the variable</t>
  </si>
  <si>
    <t xml:space="preserve">ACCOUNT-LEVEL PERFORMANCE SUMMARY  —  Apr 2024 to Apr 2026</t>
  </si>
  <si>
    <t xml:space="preserve">Acc#</t>
  </si>
  <si>
    <t xml:space="preserve">Account Name</t>
  </si>
  <si>
    <t xml:space="preserve">Type</t>
  </si>
  <si>
    <t xml:space="preserve">Total Spend</t>
  </si>
  <si>
    <t xml:space="preserve">Total Leads</t>
  </si>
  <si>
    <t xml:space="preserve">Avg CPL</t>
  </si>
  <si>
    <t xml:space="preserve">Verdict</t>
  </si>
  <si>
    <t xml:space="preserve">ACC1</t>
  </si>
  <si>
    <t xml:space="preserve">Ecoline Windows</t>
  </si>
  <si>
    <t xml:space="preserve">Awareness only</t>
  </si>
  <si>
    <t xml:space="preserve">—</t>
  </si>
  <si>
    <t xml:space="preserve">❌ 0 real leads — brand engagement only</t>
  </si>
  <si>
    <t xml:space="preserve">ACC2</t>
  </si>
  <si>
    <t xml:space="preserve">Ecoline Windows #2</t>
  </si>
  <si>
    <t xml:space="preserve">Retargeting</t>
  </si>
  <si>
    <t xml:space="preserve">✅ Retargeting CPL $60–80, solid ROI</t>
  </si>
  <si>
    <t xml:space="preserve">ACC3</t>
  </si>
  <si>
    <t xml:space="preserve">Ecoline Windows #3</t>
  </si>
  <si>
    <t xml:space="preserve">Lead Gen (LG)</t>
  </si>
  <si>
    <t xml:space="preserve">✅ LG format dominant. CPL $80–175 range</t>
  </si>
  <si>
    <t xml:space="preserve">ACC4</t>
  </si>
  <si>
    <t xml:space="preserve">Ecoline Windows #4</t>
  </si>
  <si>
    <t xml:space="preserve">Conversion (CONV)</t>
  </si>
  <si>
    <t xml:space="preserve">⚠️ Cost Cap 3 TEST2 = $897K at $159 CPL</t>
  </si>
  <si>
    <t xml:space="preserve">ACC5</t>
  </si>
  <si>
    <t xml:space="preserve">Ecoline Windows #5 Traffic</t>
  </si>
  <si>
    <t xml:space="preserve">⚠️ Sask/BC/ON over $300 CPL — overserved geos</t>
  </si>
  <si>
    <t xml:space="preserve">ACC6</t>
  </si>
  <si>
    <t xml:space="preserve">Ecoline Windows #6</t>
  </si>
  <si>
    <t xml:space="preserve">✅ NB $55 CPL, DCO $57 CPL — best in account</t>
  </si>
  <si>
    <t xml:space="preserve">ACC7</t>
  </si>
  <si>
    <t xml:space="preserve">Ecoline Windows #7</t>
  </si>
  <si>
    <t xml:space="preserve">Mixed LG/Conv</t>
  </si>
  <si>
    <t xml:space="preserve">🏆 DCO campaigns $20–57 CPL — BEST in portfolio</t>
  </si>
  <si>
    <t xml:space="preserve">ACC8</t>
  </si>
  <si>
    <t xml:space="preserve">Ecoline Windows #8</t>
  </si>
  <si>
    <t xml:space="preserve">⚠️ OLD OFFER campaigns $650–1500 CPL</t>
  </si>
  <si>
    <t xml:space="preserve">AFF</t>
  </si>
  <si>
    <t xml:space="preserve">Ecoline Affiliate</t>
  </si>
  <si>
    <t xml:space="preserve">Conversion + LG</t>
  </si>
  <si>
    <t xml:space="preserve">✅ CNV campaigns $76–115 CPL, LG $140–157 CPL</t>
  </si>
  <si>
    <t xml:space="preserve">USA</t>
  </si>
  <si>
    <t xml:space="preserve">Ecoline Windows USA</t>
  </si>
  <si>
    <t xml:space="preserve">No activity</t>
  </si>
  <si>
    <t xml:space="preserve">❌ No spend / no data in period</t>
  </si>
  <si>
    <t xml:space="preserve">ALL META CAMPAIGNS — Campaign-Level Performance  |  Apr 2024 – Apr 2026</t>
  </si>
  <si>
    <t xml:space="preserve">Account</t>
  </si>
  <si>
    <t xml:space="preserve">Campaign</t>
  </si>
  <si>
    <t xml:space="preserve">Leads</t>
  </si>
  <si>
    <t xml:space="preserve">CPL</t>
  </si>
  <si>
    <t xml:space="preserve">Signal</t>
  </si>
  <si>
    <t xml:space="preserve">IG Traffic - 01/24/2025</t>
  </si>
  <si>
    <t xml:space="preserve">⚫ No leads</t>
  </si>
  <si>
    <t xml:space="preserve">FB Page Engagement - 01/24/2025</t>
  </si>
  <si>
    <t xml:space="preserve">(A) Watching video</t>
  </si>
  <si>
    <t xml:space="preserve">💀 Kill it</t>
  </si>
  <si>
    <t xml:space="preserve">(A) Traffic | All geo</t>
  </si>
  <si>
    <t xml:space="preserve">(A) Engagement | All geo</t>
  </si>
  <si>
    <t xml:space="preserve">Conversion_Retarget_NEW</t>
  </si>
  <si>
    <t xml:space="preserve">🟢 Excellent</t>
  </si>
  <si>
    <t xml:space="preserve">Conversion_Retarget</t>
  </si>
  <si>
    <t xml:space="preserve">🟡 Good</t>
  </si>
  <si>
    <t xml:space="preserve">ACC2 - CANADA - CONV - RETARGET BIG DATABASE</t>
  </si>
  <si>
    <t xml:space="preserve">ACC2 - NEW BRUNSWICK - NOVA SCOTIA - CONV - ABO</t>
  </si>
  <si>
    <t xml:space="preserve">ACC2 - ONTARIO - CONV - ABO</t>
  </si>
  <si>
    <t xml:space="preserve">🔴 Expensive</t>
  </si>
  <si>
    <t xml:space="preserve">ACC2 - SASKATCHEWAN - CONV - ABO</t>
  </si>
  <si>
    <t xml:space="preserve">ACC2 - BRITISH COLUMBIA - CONV - ABO</t>
  </si>
  <si>
    <t xml:space="preserve">ACC2 - MANITOBA - CONV - ABO</t>
  </si>
  <si>
    <t xml:space="preserve">ACC2 - ALBERTA - CONV - ABO</t>
  </si>
  <si>
    <t xml:space="preserve">ACC3 - ALL REGIONS - LG - ABO - HARD FORM</t>
  </si>
  <si>
    <t xml:space="preserve">ACC3 - ALL REGIONS - LG - ABO - HARD FORM - MANUFACTURER</t>
  </si>
  <si>
    <t xml:space="preserve">ACC3 - ALL REGIONS - LG - ABO</t>
  </si>
  <si>
    <t xml:space="preserve">ACC3 - EDMONTON - LG - ABO</t>
  </si>
  <si>
    <t xml:space="preserve">ACC3 - VANCOUVER - LG - ABO</t>
  </si>
  <si>
    <t xml:space="preserve">ACC3 - OTTAWA - LG - ABO</t>
  </si>
  <si>
    <t xml:space="preserve">ACC3 - EDMONTON - LG - CBO</t>
  </si>
  <si>
    <t xml:space="preserve">🟠 Average</t>
  </si>
  <si>
    <t xml:space="preserve">ACC3 - SASKATOON - LG - ABO</t>
  </si>
  <si>
    <t xml:space="preserve">ACC3 - FREDERICTON - LG - ABO</t>
  </si>
  <si>
    <t xml:space="preserve">ACC3 - VANCOUVER - LG - CBO</t>
  </si>
  <si>
    <t xml:space="preserve">ACC3 - CALGARY - LG - ABO</t>
  </si>
  <si>
    <t xml:space="preserve">ACC3 - ST_JOHNS - LG - ABO</t>
  </si>
  <si>
    <t xml:space="preserve">ACC3 - WINNIPEG - LG - ABO</t>
  </si>
  <si>
    <t xml:space="preserve">ACC3 - REGINA - LG - ABO</t>
  </si>
  <si>
    <t xml:space="preserve">ACC3 - ALL REGIONS - LG - ABO - VERIFY SMS - MANUFACTURER</t>
  </si>
  <si>
    <t xml:space="preserve">ACC3 - Grande Prairie - LG - ABO</t>
  </si>
  <si>
    <t xml:space="preserve">ACC3 - HALIFAX - LG - CBO</t>
  </si>
  <si>
    <t xml:space="preserve">ACC3 - SASKATOON - LG - ABO - TEST 2</t>
  </si>
  <si>
    <t xml:space="preserve">ACC3 - KINGSTON - LG - ABO</t>
  </si>
  <si>
    <t xml:space="preserve">ACC3 - SASKATOON - LG - CBO</t>
  </si>
  <si>
    <t xml:space="preserve">ACC3 - VANCOUVER - LG - ABO - TEST 2</t>
  </si>
  <si>
    <t xml:space="preserve">ACC3 - OTTAWA - LG - ABO - TEST 2</t>
  </si>
  <si>
    <t xml:space="preserve">ACC3 - MONCTON - LG - CBO</t>
  </si>
  <si>
    <t xml:space="preserve">ACC3 - FORT MCKEY - LG - ABO</t>
  </si>
  <si>
    <t xml:space="preserve">ACC3 - PRINCE EDWARD ISLAND - LG - CBO</t>
  </si>
  <si>
    <t xml:space="preserve">ACC3 - GRANDE PRAIRIE - LG - ABO - TEST 2</t>
  </si>
  <si>
    <t xml:space="preserve">ACC3 - GRANDE PRAIRIE - LG - ABO - TEST 3</t>
  </si>
  <si>
    <t xml:space="preserve">ACC3 - PRINCE GEORGE - LG - ABO</t>
  </si>
  <si>
    <t xml:space="preserve">ACC3 - SASKATCHEWAN - LG - CBO</t>
  </si>
  <si>
    <t xml:space="preserve">ACC3 - WINNIPEG - LG - CBO</t>
  </si>
  <si>
    <t xml:space="preserve">ACC3 - ALL REGIONS - LG - ABO - HARD FORM - FINANCE</t>
  </si>
  <si>
    <t xml:space="preserve">ACC3 - CAPE BRETON ISLAND - LG - CBO</t>
  </si>
  <si>
    <t xml:space="preserve">ACC3 - KAMLOOPS - LG - ABO</t>
  </si>
  <si>
    <t xml:space="preserve">ACC3 - BRANDON - LG - ABO</t>
  </si>
  <si>
    <t xml:space="preserve">ACC3 - USA - PORTLAND - LG - ABO</t>
  </si>
  <si>
    <t xml:space="preserve">ACC3 - USA - PORTLAND - LG - ABO - NEW PAGE</t>
  </si>
  <si>
    <t xml:space="preserve">ACC3 - KINGSTON - LG - CBO</t>
  </si>
  <si>
    <t xml:space="preserve">ACC3 - LLOYDMINSTER - LG - ABO</t>
  </si>
  <si>
    <t xml:space="preserve">ACC3 - Kenora - LG - ABO</t>
  </si>
  <si>
    <t xml:space="preserve">ACC4 - ALL REGIONS - CONV - Cost Cap 3 - TEST 2</t>
  </si>
  <si>
    <t xml:space="preserve">ACC4 - ALL REGIONS - CONV - Cost Cap 3</t>
  </si>
  <si>
    <t xml:space="preserve">ACC4 - ALL REGIONS - CONV - WEB - SPRING INSTALLATION</t>
  </si>
  <si>
    <t xml:space="preserve">ACC4 - ALL REGIONS - CONV</t>
  </si>
  <si>
    <t xml:space="preserve">ACC4 - ALL REGIONS - CONV - WEB - MANUFACTURER - INSTALLATION</t>
  </si>
  <si>
    <t xml:space="preserve">ACC4 - ALL REGIONS - CONV - WEB - WINTER</t>
  </si>
  <si>
    <t xml:space="preserve">ACC4 - ALL REGIONS - CONV - WEB - WINDOWS - INSULATION</t>
  </si>
  <si>
    <t xml:space="preserve">ACC4 - ALL REGIONS - CONV - WEB - INSTALLATION 2</t>
  </si>
  <si>
    <t xml:space="preserve">ACC4 - ALL REGIONS - CONV - WEB - MANUFACTURER</t>
  </si>
  <si>
    <t xml:space="preserve">ACC4 - ALL REGIONS - CONV - WEB - INSTALLATION 1</t>
  </si>
  <si>
    <t xml:space="preserve">ACC4 - ALL REGIONS - CONV - WEB - INSTALLATION 3</t>
  </si>
  <si>
    <t xml:space="preserve">ACC4 - ALL REGIONS - CONV - WEB - FINANCE</t>
  </si>
  <si>
    <t xml:space="preserve">ACC4 - ALL REGIONS - CONV - WEB - INVESTMENT</t>
  </si>
  <si>
    <t xml:space="preserve">ACC4 - ALL REGIONS - CONV - WEB - MANUFACTURER - Finance</t>
  </si>
  <si>
    <t xml:space="preserve">ACC4 - ALL REGIONS - CONV - WEB - MI 2 - QUIZ</t>
  </si>
  <si>
    <t xml:space="preserve">ACC4 - ALL REGIONS - CONV - WEB - DRAFTY ROOMS</t>
  </si>
  <si>
    <t xml:space="preserve">ACC4 - ALL REGIONS - CONV - REELS - INSTALLATION 3</t>
  </si>
  <si>
    <t xml:space="preserve">ACC4 - ALL REGIONS - CONV - WEB - FINE WINDOWS</t>
  </si>
  <si>
    <t xml:space="preserve">ACC4 - ALL REGIONS - CONV - WEB - TOP 5 BENEFITS</t>
  </si>
  <si>
    <t xml:space="preserve">ACC4 - ALL REGIONS - CONV - WEB - COLD SEASON</t>
  </si>
  <si>
    <t xml:space="preserve">ACC4 - ALL REGIONS - CONV - WEB - FACTORY-DIRECT</t>
  </si>
  <si>
    <t xml:space="preserve">ACC4 - ALL REGIONS - CONV - WEB - HIDDEN MOISTURE</t>
  </si>
  <si>
    <t xml:space="preserve">ACC4 - ALL REGIONS - CONV - BID CAP - 1 AD SET - 1 AD</t>
  </si>
  <si>
    <t xml:space="preserve">ACC4 - ALL REGIONS - CONV - WEB - INSTALLATION</t>
  </si>
  <si>
    <t xml:space="preserve">ACC4 - ALL REGIONS - CONV - WEB - LIFE EASIER</t>
  </si>
  <si>
    <t xml:space="preserve">ACC4 - SASKATCHEWAN - CONV - ABO - TEST</t>
  </si>
  <si>
    <t xml:space="preserve">ACC4 - SASKATOON - CONV - AFF - TEST</t>
  </si>
  <si>
    <t xml:space="preserve">ACC4 - ALL REGIONS - CONV - Cost Cap 2</t>
  </si>
  <si>
    <t xml:space="preserve">ACC4 - CA - CONV - ABO - NEW WEB</t>
  </si>
  <si>
    <t xml:space="preserve">ACC4 - ONTARIO - CONV - ABO - NEW WEB</t>
  </si>
  <si>
    <t xml:space="preserve">ACC4 - VANCOUVER - CONV - AFF - TEST</t>
  </si>
  <si>
    <t xml:space="preserve">ACC4 - ALBERTA - CONV - ABO - NEW WEB</t>
  </si>
  <si>
    <t xml:space="preserve">ACC4 - OTTAWA - CONV - AFF - TEST</t>
  </si>
  <si>
    <t xml:space="preserve">ACC4 - BC - CONV - ABO - NEW WEB</t>
  </si>
  <si>
    <t xml:space="preserve">ACC4 - SASKATCHEWAN - CONV - ABO - NEW WEB</t>
  </si>
  <si>
    <t xml:space="preserve">ACC4 - ALL REGIONS - CONV - WEB - SUMMER INSTALLATION</t>
  </si>
  <si>
    <t xml:space="preserve">ACC4 - ALL REGIONS - CONV - Cost Cap</t>
  </si>
  <si>
    <t xml:space="preserve">ACC4 - REGINA - CONV - AFF - TEST</t>
  </si>
  <si>
    <t xml:space="preserve">Ecoline Windows #5</t>
  </si>
  <si>
    <t xml:space="preserve">ACC5 - CA - CNV - ABO - TEST CREO - NEW WEB</t>
  </si>
  <si>
    <t xml:space="preserve">ACC5 - CA - CNV - ABO - TEST CREO</t>
  </si>
  <si>
    <t xml:space="preserve">ACC5 - BC - CNV - ABO</t>
  </si>
  <si>
    <t xml:space="preserve">ACC5 - MONCTON - CNV - ABO</t>
  </si>
  <si>
    <t xml:space="preserve">ACC5 - CA - CNV - ABO - TEST CREO 2</t>
  </si>
  <si>
    <t xml:space="preserve">ACC5 - HALIFAX - CNV - ABO</t>
  </si>
  <si>
    <t xml:space="preserve">ACC5 - ALBERTA - CNV - ABO</t>
  </si>
  <si>
    <t xml:space="preserve">ACC5 - SASKATCHEWAN - CONV - ABO</t>
  </si>
  <si>
    <t xml:space="preserve">ACC5 - CITIES ALBERTA - CNV - ABO - CEIP</t>
  </si>
  <si>
    <t xml:space="preserve">ACC5 - ONTARIO - CNV - ABO</t>
  </si>
  <si>
    <t xml:space="preserve">ACC5 - PRINCE GEORGE - CNV - ABO</t>
  </si>
  <si>
    <t xml:space="preserve">ACC5 - OTTAWA - CNV - ABO</t>
  </si>
  <si>
    <t xml:space="preserve">ACC5 - SASKATOON - CNV - ABO</t>
  </si>
  <si>
    <t xml:space="preserve">ACC5 - REGINA - CNV - ABO</t>
  </si>
  <si>
    <t xml:space="preserve">ACC5 - VICTORIA - NANAIMO - CNV - ABO - ECO GRANT</t>
  </si>
  <si>
    <t xml:space="preserve">ACC5 - MEDICINE HAT - CNV - ABO</t>
  </si>
  <si>
    <t xml:space="preserve">ACC5 - GRANDE PRAIRIE - CNV - ABO - ECO GRANT</t>
  </si>
  <si>
    <t xml:space="preserve">ACC6 - CALGARY - CONV - ABO</t>
  </si>
  <si>
    <t xml:space="preserve">ACC6 - NEW BRUNSWICK - CONV - ABO</t>
  </si>
  <si>
    <t xml:space="preserve">ACC6 - OTTAWA - CONV - ABO</t>
  </si>
  <si>
    <t xml:space="preserve">ACC6 - WINNIPEG - CONV - ABO</t>
  </si>
  <si>
    <t xml:space="preserve">ACC6 - EDMONTON - CONV - ABO</t>
  </si>
  <si>
    <t xml:space="preserve">ACC6 - VANCOUVER - CONV - ABO</t>
  </si>
  <si>
    <t xml:space="preserve">ACC6 - BC Small Areas - CONV - ABO</t>
  </si>
  <si>
    <t xml:space="preserve">ACC6 - SMALL REG - CONV - ABO</t>
  </si>
  <si>
    <t xml:space="preserve">ACC6 - REGINA - CONV - ABO</t>
  </si>
  <si>
    <t xml:space="preserve">ACC6 - AB Small Areas - CONV - ABO</t>
  </si>
  <si>
    <t xml:space="preserve">ACC6 - VANCOVUER ISLAND - CONV - ABO</t>
  </si>
  <si>
    <t xml:space="preserve">ACC6 - SASKATOON - CONV - ABO</t>
  </si>
  <si>
    <t xml:space="preserve">ACC6 - ALL REGIONS - CONV - DCO</t>
  </si>
  <si>
    <t xml:space="preserve">ACC6 - Selected Regions - CONV - ABO</t>
  </si>
  <si>
    <t xml:space="preserve">ACC6 - EDMONTON - LOAN campaigns (total)</t>
  </si>
  <si>
    <t xml:space="preserve">ACC7 - ALBERTA - LG - ABO - Seniors 60 plus</t>
  </si>
  <si>
    <t xml:space="preserve">ACC7 - ALL REGIONS - LG - ABO - Spring installation</t>
  </si>
  <si>
    <t xml:space="preserve">ACC7 - SMALL CITIES ALBERTA - LG - ABO - CEIP</t>
  </si>
  <si>
    <t xml:space="preserve">ACC7 - CALGARY - CONV - ABO - GREEN GRANT</t>
  </si>
  <si>
    <t xml:space="preserve">ACC7 - VANCOUVER - CONV - ABO - GREEN GRANT</t>
  </si>
  <si>
    <t xml:space="preserve">ACC7 - OTTAWA - CONV - ABO - GREEN GRANT</t>
  </si>
  <si>
    <t xml:space="preserve">ACC7 - ALL REGIONS - LG - ABO - Security Windows</t>
  </si>
  <si>
    <t xml:space="preserve">ACC7 - EDMONTON - CONV - ABO - GREEN GRANT</t>
  </si>
  <si>
    <t xml:space="preserve">ACC7 - WINNIPEG - CONV - ABO - GREEN GRANT</t>
  </si>
  <si>
    <t xml:space="preserve">ACC7 - ALL REGIONS - LG - ABO - Seniors 60 plus</t>
  </si>
  <si>
    <t xml:space="preserve">ACC7 - ALL REGIONS - LG - DCO - Spring installation p2</t>
  </si>
  <si>
    <t xml:space="preserve">ACC7 - ALL REGIONS - CONV</t>
  </si>
  <si>
    <t xml:space="preserve">ACC7 - REGINA - CONV - ABO - GREEN GRANT</t>
  </si>
  <si>
    <t xml:space="preserve">ACC7 - SASKATOON - CONV - ABO - GREEN GRANT</t>
  </si>
  <si>
    <t xml:space="preserve">ACC7 - VICTORIA - NANAIMO - LG - ABO - ECO GRANT</t>
  </si>
  <si>
    <t xml:space="preserve">ACC7 - WINNIPEG - LG - ABO - 2000 IN REBATES</t>
  </si>
  <si>
    <t xml:space="preserve">ACC7 - ALL REGIONS - CONV – DCO</t>
  </si>
  <si>
    <t xml:space="preserve">ACC7 - KELOWNA - LG - ABO - ECO GRANT</t>
  </si>
  <si>
    <t xml:space="preserve">ACC7 - PRINCE GEORGE - LG - ABO - ECO GRANT</t>
  </si>
  <si>
    <t xml:space="preserve">ACC7 - GRANDE PRAIRIE - LG - ABO - CEIP</t>
  </si>
  <si>
    <t xml:space="preserve">ACC7 - ALL REGIONS - LG - DCO - Summer installation</t>
  </si>
  <si>
    <t xml:space="preserve">ACC7 - ALL REGIONS - CONV - PHONE</t>
  </si>
  <si>
    <t xml:space="preserve">ACC7 - ALL REGIONS - CONV – Cost Cap</t>
  </si>
  <si>
    <t xml:space="preserve">ACC7 - ALL REGIONS - LG - DCO - Spring installation p1</t>
  </si>
  <si>
    <t xml:space="preserve">ACC7 - ALL REGIONS - LG - ABO - Greener Homes Loan</t>
  </si>
  <si>
    <t xml:space="preserve">ACC8 - ALL REGIONS - CONV - BID CAP - CBO - TEST 3</t>
  </si>
  <si>
    <t xml:space="preserve">ACC8 - ALL REGIONS - CONV - BID CAP - CBO - TEST 2</t>
  </si>
  <si>
    <t xml:space="preserve">ACC8 - ALL REGIONS - CONV - BID CAP - CBO</t>
  </si>
  <si>
    <t xml:space="preserve">ACC8 - CALGARY - CONV - BID CAP - CBO - TEST 2</t>
  </si>
  <si>
    <t xml:space="preserve">ACC8 - VANCOUVER - CONV - ABO</t>
  </si>
  <si>
    <t xml:space="preserve">ACC8 - WINNIPEG - CONV - ABO</t>
  </si>
  <si>
    <t xml:space="preserve">ACC8 - CALGARY - CONV - ABO</t>
  </si>
  <si>
    <t xml:space="preserve">ACC8 - CityQuiz Conversion Lead</t>
  </si>
  <si>
    <t xml:space="preserve">ACC8 - OLD OFFER campaigns (8 cities)</t>
  </si>
  <si>
    <t xml:space="preserve">ACC8 - EDMONTON - CONV - BID CAP - CBO</t>
  </si>
  <si>
    <t xml:space="preserve">ACC8 - VANCOUVER - CONV - BID CAP - CBO - TEST 2</t>
  </si>
  <si>
    <t xml:space="preserve">ACC8 - CALGARY - CONV - BID CAP - CBO</t>
  </si>
  <si>
    <t xml:space="preserve">ACC8 - EDMONTON - CONV - BID CAP - CBO - TEST 2</t>
  </si>
  <si>
    <t xml:space="preserve">ACC8 - VANCOUVER - CONV - BID CAP - CBO</t>
  </si>
  <si>
    <t xml:space="preserve">ACC8 - OTTAWA - CONV - ABO</t>
  </si>
  <si>
    <t xml:space="preserve">ACC8 - EDMONTON - CONV - ABO</t>
  </si>
  <si>
    <t xml:space="preserve">ACC8 - GRANDE PRAIRIE - CONV - ABO</t>
  </si>
  <si>
    <t xml:space="preserve">AFF - WINNIPEG - LG - COST CAP - 1 AD SET - 1 AD</t>
  </si>
  <si>
    <t xml:space="preserve">AFF - EDMONTON - LG - COST CAP - 1 AD SET - 10 AD</t>
  </si>
  <si>
    <t xml:space="preserve">AFF - CA - CNV - Aff Website + Eco Pixel</t>
  </si>
  <si>
    <t xml:space="preserve">AFF - CA - CNV - Eco Website + Eco Pixel</t>
  </si>
  <si>
    <t xml:space="preserve">AFF - VICTORIA - NANAIMO - LG - COST CAP</t>
  </si>
  <si>
    <t xml:space="preserve">AFF - CALGARY - LG - COST CAP - 1 AD SET - 10 AD</t>
  </si>
  <si>
    <t xml:space="preserve">AFF - SASKATOON - CNV - Aff Website + Eco Pixel</t>
  </si>
  <si>
    <t xml:space="preserve">AFF - VANCOUVER - LG - COST CAP - 1 AD SET - 10 AD</t>
  </si>
  <si>
    <t xml:space="preserve">AFF - WINNIPEG - CNV - Aff Website + Eco Pixel</t>
  </si>
  <si>
    <t xml:space="preserve">AFF - ON (Areas) - CNV - Eco Website + Eco Pixel</t>
  </si>
  <si>
    <t xml:space="preserve">AFF - EDMONTON - CNV - Aff Website + Eco Pixel</t>
  </si>
  <si>
    <t xml:space="preserve">AFF - REGINA - CNV - Aff Website + Eco Pixel</t>
  </si>
  <si>
    <t xml:space="preserve">AFF - VANCOUVER - CNV - Aff Website + Eco Pixel</t>
  </si>
  <si>
    <t xml:space="preserve">AFF - OTTAWA - CNV - Aff Website + Eco Pixel</t>
  </si>
  <si>
    <t xml:space="preserve">AFF - CALGARY - CNV - Aff Website + Eco Pixel</t>
  </si>
  <si>
    <t xml:space="preserve">AFF - GRANDE PRAIRIE - LG - COST CAP</t>
  </si>
  <si>
    <t xml:space="preserve">AFF - KELOWNA - CNV - Aff Website + Eco Pixel</t>
  </si>
  <si>
    <t xml:space="preserve">AFF - NANAIMO - CNV - Aff Website + Eco Pixel</t>
  </si>
  <si>
    <t xml:space="preserve">🏆  TOP PERFORMING CAMPAIGNS  —  CPL Under $130  (Best ROI)</t>
  </si>
  <si>
    <t xml:space="preserve">Spend</t>
  </si>
  <si>
    <t xml:space="preserve">Why It Works</t>
  </si>
  <si>
    <t xml:space="preserve">DCO format — system tests creatives automatically, finds winners fast</t>
  </si>
  <si>
    <t xml:space="preserve">Very small budget test — tiny market, low competition</t>
  </si>
  <si>
    <t xml:space="preserve">DCO again — same winning formula, summer variant</t>
  </si>
  <si>
    <t xml:space="preserve">Retargeting warm audience — always efficient</t>
  </si>
  <si>
    <t xml:space="preserve">High-intent small market, low competition = cheap leads</t>
  </si>
  <si>
    <t xml:space="preserve">DCO seed — led to scaling in p2</t>
  </si>
  <si>
    <t xml:space="preserve">DCO on conversion = automatic creative optimization</t>
  </si>
  <si>
    <t xml:space="preserve">Senior demographic, high purchase intent + rebate angle</t>
  </si>
  <si>
    <t xml:space="preserve">Captive market, low saturation, strong brand recognition</t>
  </si>
  <si>
    <t xml:space="preserve">Strong CPL — analyse creative &amp; audience for scaling</t>
  </si>
  <si>
    <t xml:space="preserve">Maritime markets respond well — limited competition</t>
  </si>
  <si>
    <t xml:space="preserve">Island market, no competition, captive audience</t>
  </si>
  <si>
    <t xml:space="preserve">Affiliate website landing page converts better</t>
  </si>
  <si>
    <t xml:space="preserve">🔥  MONEY BURNING CAMPAIGNS  —  CPL Over $250  or  Zero Leads</t>
  </si>
  <si>
    <t xml:space="preserve">Spend Wasted</t>
  </si>
  <si>
    <t xml:space="preserve">Problem</t>
  </si>
  <si>
    <t xml:space="preserve">Action</t>
  </si>
  <si>
    <t xml:space="preserve">No leads</t>
  </si>
  <si>
    <t xml:space="preserve">CPL too high — poor geo/creative fit</t>
  </si>
  <si>
    <t xml:space="preserve">Review &amp; reduce budget</t>
  </si>
  <si>
    <t xml:space="preserve">$3,909</t>
  </si>
  <si>
    <t xml:space="preserve">Click-to-call: $3,909 per lead — optimization mismatch</t>
  </si>
  <si>
    <t xml:space="preserve">KILL IMMEDIATELY</t>
  </si>
  <si>
    <t xml:space="preserve">$803</t>
  </si>
  <si>
    <t xml:space="preserve">$584</t>
  </si>
  <si>
    <t xml:space="preserve">$584 CPL — too small a market at this budget</t>
  </si>
  <si>
    <t xml:space="preserve">KILL</t>
  </si>
  <si>
    <t xml:space="preserve">$535</t>
  </si>
  <si>
    <t xml:space="preserve">$535 CPL — grant angle doesn't convert here</t>
  </si>
  <si>
    <t xml:space="preserve">$490</t>
  </si>
  <si>
    <t xml:space="preserve">$487</t>
  </si>
  <si>
    <t xml:space="preserve">BC with $487 CPL — wrong geo/creative combo</t>
  </si>
  <si>
    <t xml:space="preserve">$425</t>
  </si>
  <si>
    <t xml:space="preserve">$425 CPL — Green Grant not working anywhere</t>
  </si>
  <si>
    <t xml:space="preserve">$421</t>
  </si>
  <si>
    <t xml:space="preserve">$421 CPL — Green Grant not working</t>
  </si>
  <si>
    <t xml:space="preserve">$410</t>
  </si>
  <si>
    <t xml:space="preserve">$400</t>
  </si>
  <si>
    <t xml:space="preserve">$364</t>
  </si>
  <si>
    <t xml:space="preserve">$364 CPL — market too small for budget</t>
  </si>
  <si>
    <t xml:space="preserve">$354</t>
  </si>
  <si>
    <t xml:space="preserve">$352</t>
  </si>
  <si>
    <t xml:space="preserve">$351</t>
  </si>
  <si>
    <t xml:space="preserve">$351 CPL — Regina better served by other accounts</t>
  </si>
  <si>
    <t xml:space="preserve">$329</t>
  </si>
  <si>
    <t xml:space="preserve">$319</t>
  </si>
  <si>
    <t xml:space="preserve">$319 CPL, ON is underserved by Ecoline brand</t>
  </si>
  <si>
    <t xml:space="preserve">PAUSE</t>
  </si>
  <si>
    <t xml:space="preserve">$311</t>
  </si>
  <si>
    <t xml:space="preserve">$311 CPL — Saskatoon covered better in ACC3</t>
  </si>
  <si>
    <t xml:space="preserve">KILL (duplicate)</t>
  </si>
  <si>
    <t xml:space="preserve">$310</t>
  </si>
  <si>
    <t xml:space="preserve">$310 CPL — Kamloops should be ACC7 LG territory</t>
  </si>
  <si>
    <t xml:space="preserve">$309</t>
  </si>
  <si>
    <t xml:space="preserve">$292</t>
  </si>
  <si>
    <t xml:space="preserve">$280</t>
  </si>
  <si>
    <t xml:space="preserve">$265</t>
  </si>
  <si>
    <t xml:space="preserve">$252</t>
  </si>
  <si>
    <t xml:space="preserve">ACTION PLAN  —  What to Do NOW Based on 24 Months of Data</t>
  </si>
  <si>
    <t xml:space="preserve">#</t>
  </si>
  <si>
    <t xml:space="preserve">Action Type</t>
  </si>
  <si>
    <t xml:space="preserve">Target</t>
  </si>
  <si>
    <t xml:space="preserve">Detail</t>
  </si>
  <si>
    <t xml:space="preserve">Est. Impact</t>
  </si>
  <si>
    <t xml:space="preserve">Priority</t>
  </si>
  <si>
    <t xml:space="preserve">1</t>
  </si>
  <si>
    <t xml:space="preserve">🚀 SCALE UP</t>
  </si>
  <si>
    <t xml:space="preserve">Ecoline DCO campaigns (ACC7)</t>
  </si>
  <si>
    <t xml:space="preserve">ACC7 - LG - DCO - Spring p2 at $21 CPL is the cheapest lead source in the entire portfolio. Scale to $50–80K/month immediately. Replicate DCO structure in ACC3, ACC4, ACC8.</t>
  </si>
  <si>
    <t xml:space="preserve">$21–57 CPL</t>
  </si>
  <si>
    <t xml:space="preserve">HIGH PRIORITY</t>
  </si>
  <si>
    <t xml:space="preserve">2</t>
  </si>
  <si>
    <t xml:space="preserve">Alberta Seniors 60+ (ACC7)</t>
  </si>
  <si>
    <t xml:space="preserve">141K spend, 2,396 leads at $59 CPL — this is the highest-volume + lowest-CPL campaign in ANY account. Double the budget.</t>
  </si>
  <si>
    <t xml:space="preserve">$59 CPL</t>
  </si>
  <si>
    <t xml:space="preserve">3</t>
  </si>
  <si>
    <t xml:space="preserve">Moncton &amp; Halifax (ACC5)</t>
  </si>
  <si>
    <t xml:space="preserve">Maritime markets: $55–66 CPL with 855/698 leads. Underutilized. Push to $70–80K each.</t>
  </si>
  <si>
    <t xml:space="preserve">$60–66 CPL</t>
  </si>
  <si>
    <t xml:space="preserve">4</t>
  </si>
  <si>
    <t xml:space="preserve">New Brunswick DCO (ACC6)</t>
  </si>
  <si>
    <t xml:space="preserve">Two campaigns under $57 CPL: NB CONV ABO and DCO ALL REGIONS. Both are small budget vs performance.</t>
  </si>
  <si>
    <t xml:space="preserve">$55–57 CPL</t>
  </si>
  <si>
    <t xml:space="preserve">5</t>
  </si>
  <si>
    <t xml:space="preserve">🔴 KILL</t>
  </si>
  <si>
    <t xml:space="preserve">ACC1 — ALL campaigns</t>
  </si>
  <si>
    <t xml:space="preserve">$70K spent across 5 awareness campaigns with 0–4 sales leads. Engagement/video/traffic has ZERO ROI for this business. Pause all and redirect budget.</t>
  </si>
  <si>
    <t xml:space="preserve">$70K wasted</t>
  </si>
  <si>
    <t xml:space="preserve">URGENT</t>
  </si>
  <si>
    <t xml:space="preserve">6</t>
  </si>
  <si>
    <t xml:space="preserve">All GREEN GRANT campaigns (ACC7)</t>
  </si>
  <si>
    <t xml:space="preserve">7 city campaigns at $200–533 CPL. Green Grant angle is not converting. Total wasted: ~$170K. Kill and replace with DCO/LG Seniors.</t>
  </si>
  <si>
    <t xml:space="preserve">$200–533 CPL</t>
  </si>
  <si>
    <t xml:space="preserve">7</t>
  </si>
  <si>
    <t xml:space="preserve">ACC8 OLD OFFER campaigns</t>
  </si>
  <si>
    <t xml:space="preserve">8 campaigns at $650–1,500 CPL. These are dead campaigns running on old offers. Total waste: ~$16K/period but still active.</t>
  </si>
  <si>
    <t xml:space="preserve">$650–1,500 CPL</t>
  </si>
  <si>
    <t xml:space="preserve">KILL NOW</t>
  </si>
  <si>
    <t xml:space="preserve">8</t>
  </si>
  <si>
    <t xml:space="preserve">Phone/click-to-call (ACC7)</t>
  </si>
  <si>
    <t xml:space="preserve">$3,909 CPL. Click-to-call optimization generates calls not form leads — misaligned with your attribution model. Kill.</t>
  </si>
  <si>
    <t xml:space="preserve">$3,909 CPL</t>
  </si>
  <si>
    <t xml:space="preserve">9</t>
  </si>
  <si>
    <t xml:space="preserve">Loan/finance-angle campaigns (ACC6)</t>
  </si>
  <si>
    <t xml:space="preserve">7 city LOAN campaigns, mostly $400–1100 CPL. Finance angle doesn't work vs direct offer. Kill all.</t>
  </si>
  <si>
    <t xml:space="preserve">$400–1,131 CPL</t>
  </si>
  <si>
    <t xml:space="preserve">10</t>
  </si>
  <si>
    <t xml:space="preserve">⚙️ OPTIMISE</t>
  </si>
  <si>
    <t xml:space="preserve">ACC4 Cost Cap 3 TEST 2 ($897K)</t>
  </si>
  <si>
    <t xml:space="preserve">Your biggest single campaign. $159 CPL is OK but not great. At this spend level, CPL should be $100–120. Test reducing budgets by 20% and A/B test DCO format.</t>
  </si>
  <si>
    <t xml:space="preserve">$159 CPL</t>
  </si>
  <si>
    <t xml:space="preserve">REVIEW</t>
  </si>
  <si>
    <t xml:space="preserve">11</t>
  </si>
  <si>
    <t xml:space="preserve">Saskatchewan &amp; Regina across ALL accounts</t>
  </si>
  <si>
    <t xml:space="preserve">Consistently $300–420 CPL in every account. Either increase brand awareness spend there separately, or accept lower volume and reduce to 1 consolidatd campaign.</t>
  </si>
  <si>
    <t xml:space="preserve">$300–420 CPL</t>
  </si>
  <si>
    <t xml:space="preserve">12</t>
  </si>
  <si>
    <t xml:space="preserve">Monthly budget sweet spot: $310–365K</t>
  </si>
  <si>
    <t xml:space="preserve">ROAS peaks at $290–365K/month spend. Scaling to $427–541K shows diminishing returns (2.5–2.7x ROAS vs 3.8–4.0x). Do NOT scale total budget further — redistribute.</t>
  </si>
  <si>
    <t xml:space="preserve">4x ROAS cap</t>
  </si>
  <si>
    <t xml:space="preserve">KEY INSIGHT</t>
  </si>
  <si>
    <t xml:space="preserve">13</t>
  </si>
  <si>
    <t xml:space="preserve">📊 MEASURE</t>
  </si>
  <si>
    <t xml:space="preserve">Add UTM tracking to ALL campaigns</t>
  </si>
  <si>
    <t xml:space="preserve">~532 leads have no UTM campaign attribution. This makes campaign-level ROI analysis impossible. Ensure every ad has utm_campaign matching Meta campaign name.</t>
  </si>
  <si>
    <t xml:space="preserve">N/A</t>
  </si>
  <si>
    <t xml:space="preserve">PROCESS</t>
  </si>
  <si>
    <t xml:space="preserve">14</t>
  </si>
  <si>
    <t xml:space="preserve">Track spend in BQ from Day 1</t>
  </si>
  <si>
    <t xml:space="preserve">BQ has no spend data for Apr 2024–Dec 2024. You're flying blind on ROI for that period. Implement daily spend sync via Meta API → BigQuery pipeline.</t>
  </si>
  <si>
    <t xml:space="preserve">GEO/CITY PERFORMANCE — Aggregated Across All Accounts</t>
  </si>
  <si>
    <t xml:space="preserve">City/Region</t>
  </si>
  <si>
    <t xml:space="preserve">Approx Spend</t>
  </si>
  <si>
    <t xml:space="preserve">Rating</t>
  </si>
  <si>
    <t xml:space="preserve">Alberta (all)</t>
  </si>
  <si>
    <t xml:space="preserve">$450,000+</t>
  </si>
  <si>
    <t xml:space="preserve">6,500+</t>
  </si>
  <si>
    <t xml:space="preserve">~$70</t>
  </si>
  <si>
    <t xml:space="preserve">🟢 BEST market — scale</t>
  </si>
  <si>
    <t xml:space="preserve">Edmonton</t>
  </si>
  <si>
    <t xml:space="preserve">$320,000</t>
  </si>
  <si>
    <t xml:space="preserve">3,500</t>
  </si>
  <si>
    <t xml:space="preserve">~$90</t>
  </si>
  <si>
    <t xml:space="preserve">🟢 Strong performer</t>
  </si>
  <si>
    <t xml:space="preserve">Calgary</t>
  </si>
  <si>
    <t xml:space="preserve">$280,000</t>
  </si>
  <si>
    <t xml:space="preserve">2,800</t>
  </si>
  <si>
    <t xml:space="preserve">~$95</t>
  </si>
  <si>
    <t xml:space="preserve">Vancouver / BC Lower</t>
  </si>
  <si>
    <t xml:space="preserve">$290,000</t>
  </si>
  <si>
    <t xml:space="preserve">3,000</t>
  </si>
  <si>
    <t xml:space="preserve">~$97</t>
  </si>
  <si>
    <t xml:space="preserve">🟢 Good — LG format best</t>
  </si>
  <si>
    <t xml:space="preserve">Ottawa</t>
  </si>
  <si>
    <t xml:space="preserve">$220,000</t>
  </si>
  <si>
    <t xml:space="preserve">2,000</t>
  </si>
  <si>
    <t xml:space="preserve">~$110</t>
  </si>
  <si>
    <t xml:space="preserve">🟡 Decent — consolidate</t>
  </si>
  <si>
    <t xml:space="preserve">St. John's / NL</t>
  </si>
  <si>
    <t xml:space="preserve">$50,000</t>
  </si>
  <si>
    <t xml:space="preserve">520</t>
  </si>
  <si>
    <t xml:space="preserve">~$96</t>
  </si>
  <si>
    <t xml:space="preserve">🟢 Small but efficient</t>
  </si>
  <si>
    <t xml:space="preserve">Halifax / NS</t>
  </si>
  <si>
    <t xml:space="preserve">$77,000</t>
  </si>
  <si>
    <t xml:space="preserve">942</t>
  </si>
  <si>
    <t xml:space="preserve">~$82</t>
  </si>
  <si>
    <t xml:space="preserve">🟢 Maritime gold</t>
  </si>
  <si>
    <t xml:space="preserve">Moncton / NB</t>
  </si>
  <si>
    <t xml:space="preserve">$85,000</t>
  </si>
  <si>
    <t xml:space="preserve">1,475</t>
  </si>
  <si>
    <t xml:space="preserve">~$58</t>
  </si>
  <si>
    <t xml:space="preserve">🟢 BEST CPL by city</t>
  </si>
  <si>
    <t xml:space="preserve">New Brunswick</t>
  </si>
  <si>
    <t xml:space="preserve">$34,000</t>
  </si>
  <si>
    <t xml:space="preserve">620</t>
  </si>
  <si>
    <t xml:space="preserve">~$55</t>
  </si>
  <si>
    <t xml:space="preserve">🟢 BEST CPL by region</t>
  </si>
  <si>
    <t xml:space="preserve">Fredericton</t>
  </si>
  <si>
    <t xml:space="preserve">$58,000</t>
  </si>
  <si>
    <t xml:space="preserve">433</t>
  </si>
  <si>
    <t xml:space="preserve">~$135</t>
  </si>
  <si>
    <t xml:space="preserve">🟡 Average</t>
  </si>
  <si>
    <t xml:space="preserve">Winnipeg</t>
  </si>
  <si>
    <t xml:space="preserve">$145,000</t>
  </si>
  <si>
    <t xml:space="preserve">1,350</t>
  </si>
  <si>
    <t xml:space="preserve">~$107</t>
  </si>
  <si>
    <t xml:space="preserve">🟡 OK — watch CPL</t>
  </si>
  <si>
    <t xml:space="preserve">Saskatoon</t>
  </si>
  <si>
    <t xml:space="preserve">$160,000</t>
  </si>
  <si>
    <t xml:space="preserve">1,300</t>
  </si>
  <si>
    <t xml:space="preserve">~$123</t>
  </si>
  <si>
    <t xml:space="preserve">🟠 Moderate — LG only</t>
  </si>
  <si>
    <t xml:space="preserve">Regina</t>
  </si>
  <si>
    <t xml:space="preserve">$110,000</t>
  </si>
  <si>
    <t xml:space="preserve">630</t>
  </si>
  <si>
    <t xml:space="preserve">~$175</t>
  </si>
  <si>
    <t xml:space="preserve">🔴 Expensive — consolidate</t>
  </si>
  <si>
    <t xml:space="preserve">Saskatchewan (rural)</t>
  </si>
  <si>
    <t xml:space="preserve">$80,000</t>
  </si>
  <si>
    <t xml:space="preserve">320</t>
  </si>
  <si>
    <t xml:space="preserve">~$250</t>
  </si>
  <si>
    <t xml:space="preserve">🔴 Kill rural Sask</t>
  </si>
  <si>
    <t xml:space="preserve">Kingston</t>
  </si>
  <si>
    <t xml:space="preserve">$35,000</t>
  </si>
  <si>
    <t xml:space="preserve">257</t>
  </si>
  <si>
    <t xml:space="preserve">~$136</t>
  </si>
  <si>
    <t xml:space="preserve">Prince George / BC small</t>
  </si>
  <si>
    <t xml:space="preserve">175</t>
  </si>
  <si>
    <t xml:space="preserve">~$200</t>
  </si>
  <si>
    <t xml:space="preserve">Kamloops</t>
  </si>
  <si>
    <t xml:space="preserve">$20,000</t>
  </si>
  <si>
    <t xml:space="preserve">52</t>
  </si>
  <si>
    <t xml:space="preserve">~$385</t>
  </si>
  <si>
    <t xml:space="preserve">💀 Kill or restructure</t>
  </si>
  <si>
    <t xml:space="preserve">Grande Prairie</t>
  </si>
  <si>
    <t xml:space="preserve">$60,000</t>
  </si>
  <si>
    <t xml:space="preserve">460</t>
  </si>
  <si>
    <t xml:space="preserve">~$130</t>
  </si>
  <si>
    <t xml:space="preserve">🟡 Acceptable if LG format</t>
  </si>
  <si>
    <t xml:space="preserve">Small Alberta cities (CEIP)</t>
  </si>
  <si>
    <t xml:space="preserve">$92,000</t>
  </si>
  <si>
    <t xml:space="preserve">932</t>
  </si>
  <si>
    <t xml:space="preserve">~$99</t>
  </si>
  <si>
    <t xml:space="preserve">🟢 CEIP angle works</t>
  </si>
  <si>
    <t xml:space="preserve">Medicine Hat</t>
  </si>
  <si>
    <t xml:space="preserve">$6,000</t>
  </si>
  <si>
    <t xml:space="preserve">~$600</t>
  </si>
  <si>
    <t xml:space="preserve">💀 Kill</t>
  </si>
  <si>
    <t xml:space="preserve">Lloydminster</t>
  </si>
  <si>
    <t xml:space="preserve">$2,300</t>
  </si>
  <si>
    <t xml:space="preserve">~$575</t>
  </si>
  <si>
    <t xml:space="preserve">Portland / USA (test)</t>
  </si>
  <si>
    <t xml:space="preserve">$10,000</t>
  </si>
  <si>
    <t xml:space="preserve">60</t>
  </si>
  <si>
    <t xml:space="preserve">~$167</t>
  </si>
  <si>
    <t xml:space="preserve">🟡 Early stage — monitor</t>
  </si>
  <si>
    <t xml:space="preserve">Ontario (general)</t>
  </si>
  <si>
    <t xml:space="preserve">$16,000</t>
  </si>
  <si>
    <t xml:space="preserve">67</t>
  </si>
  <si>
    <t xml:space="preserve">~$239</t>
  </si>
  <si>
    <t xml:space="preserve">🔴 Ontario underperforms — needs strategy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</si>
</sst>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D1B2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sz val="10"/>
      <color rgb="FF9C6500"/>
      <name val="Calibri"/>
      <family val="0"/>
      <charset val="1"/>
    </font>
    <font>
      <sz val="10"/>
      <color rgb="FF9C000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9"/>
      <color rgb="FFE67E22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A1A1A"/>
      <name val="Calibri"/>
      <family val="0"/>
      <charset val="1"/>
    </font>
    <font>
      <b val="true"/>
      <sz val="9"/>
      <color rgb="FF1B7A3E"/>
      <name val="Calibri"/>
      <family val="0"/>
      <charset val="1"/>
    </font>
    <font>
      <b val="true"/>
      <sz val="9"/>
      <color rgb="FF9C6500"/>
      <name val="Calibri"/>
      <family val="0"/>
      <charset val="1"/>
    </font>
    <font>
      <sz val="9"/>
      <color rgb="FF276221"/>
      <name val="Calibri"/>
      <family val="0"/>
      <charset val="1"/>
    </font>
    <font>
      <sz val="9"/>
      <color rgb="FF9C6500"/>
      <name val="Calibri"/>
      <family val="0"/>
      <charset val="1"/>
    </font>
    <font>
      <sz val="9"/>
      <color rgb="FF9C0006"/>
      <name val="Calibri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EBF5FB"/>
        <bgColor rgb="FFEAFAF1"/>
      </patternFill>
    </fill>
    <fill>
      <patternFill patternType="solid">
        <fgColor rgb="FF1A4F72"/>
        <bgColor rgb="FF1A5276"/>
      </patternFill>
    </fill>
    <fill>
      <patternFill patternType="solid">
        <fgColor rgb="FF1B7A3E"/>
        <bgColor rgb="FF276221"/>
      </patternFill>
    </fill>
    <fill>
      <patternFill patternType="solid">
        <fgColor rgb="FF2C3E50"/>
        <bgColor rgb="FF1E3A4F"/>
      </patternFill>
    </fill>
    <fill>
      <patternFill patternType="solid">
        <fgColor rgb="FF1A5276"/>
        <bgColor rgb="FF1A4F72"/>
      </patternFill>
    </fill>
    <fill>
      <patternFill patternType="solid">
        <fgColor rgb="FFC0392B"/>
        <bgColor rgb="FF993366"/>
      </patternFill>
    </fill>
    <fill>
      <patternFill patternType="solid">
        <fgColor rgb="FF1E3A4F"/>
        <bgColor rgb="FF2C3E50"/>
      </patternFill>
    </fill>
    <fill>
      <patternFill patternType="solid">
        <fgColor rgb="FFFAFAFA"/>
        <bgColor rgb="FFF8FAFB"/>
      </patternFill>
    </fill>
    <fill>
      <patternFill patternType="solid">
        <fgColor rgb="FFFFFFFF"/>
        <bgColor rgb="FFFAFAFA"/>
      </patternFill>
    </fill>
    <fill>
      <patternFill patternType="solid">
        <fgColor rgb="FFC6EFCE"/>
        <bgColor rgb="FFEAFAF1"/>
      </patternFill>
    </fill>
    <fill>
      <patternFill patternType="solid">
        <fgColor rgb="FFFFC7CE"/>
        <bgColor rgb="FFFFE5E5"/>
      </patternFill>
    </fill>
    <fill>
      <patternFill patternType="solid">
        <fgColor rgb="FF0D1B2A"/>
        <bgColor rgb="FF1A1A1A"/>
      </patternFill>
    </fill>
    <fill>
      <patternFill patternType="solid">
        <fgColor rgb="FFF8FAFB"/>
        <bgColor rgb="FFFAFAFA"/>
      </patternFill>
    </fill>
    <fill>
      <patternFill patternType="solid">
        <fgColor rgb="FFFFEB9C"/>
        <bgColor rgb="FFFFE5E5"/>
      </patternFill>
    </fill>
    <fill>
      <patternFill patternType="solid">
        <fgColor rgb="FFEAFAF1"/>
        <bgColor rgb="FFEBF5FB"/>
      </patternFill>
    </fill>
    <fill>
      <patternFill patternType="solid">
        <fgColor rgb="FFF0FFF4"/>
        <bgColor rgb="FFEAFAF1"/>
      </patternFill>
    </fill>
    <fill>
      <patternFill patternType="solid">
        <fgColor rgb="FFFFF0F0"/>
        <bgColor rgb="FFFAFAFA"/>
      </patternFill>
    </fill>
    <fill>
      <patternFill patternType="solid">
        <fgColor rgb="FFFFE5E5"/>
        <bgColor rgb="FFFFF0F0"/>
      </patternFill>
    </fill>
    <fill>
      <patternFill patternType="solid">
        <fgColor rgb="FFE67E22"/>
        <bgColor rgb="FFFF9900"/>
      </patternFill>
    </fill>
    <fill>
      <patternFill patternType="solid">
        <fgColor rgb="FF2980B9"/>
        <bgColor rgb="FF3366FF"/>
      </patternFill>
    </fill>
    <fill>
      <patternFill patternType="solid">
        <fgColor rgb="FFC00000"/>
        <bgColor rgb="FF9C000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B7A3E"/>
      <rgbColor rgb="FF000080"/>
      <rgbColor rgb="FF9C6500"/>
      <rgbColor rgb="FF800080"/>
      <rgbColor rgb="FF2980B9"/>
      <rgbColor rgb="FFCCCCCC"/>
      <rgbColor rgb="FF808080"/>
      <rgbColor rgb="FF9999FF"/>
      <rgbColor rgb="FF993366"/>
      <rgbColor rgb="FFF0FFF4"/>
      <rgbColor rgb="FFEAFAF1"/>
      <rgbColor rgb="FF660066"/>
      <rgbColor rgb="FFFF8080"/>
      <rgbColor rgb="FF1A5276"/>
      <rgbColor rgb="FFFFE5E5"/>
      <rgbColor rgb="FF000080"/>
      <rgbColor rgb="FFFF00FF"/>
      <rgbColor rgb="FFFFFF00"/>
      <rgbColor rgb="FF00FFFF"/>
      <rgbColor rgb="FF800080"/>
      <rgbColor rgb="FF800000"/>
      <rgbColor rgb="FF276221"/>
      <rgbColor rgb="FF0000FF"/>
      <rgbColor rgb="FF00CCFF"/>
      <rgbColor rgb="FFEBF5FB"/>
      <rgbColor rgb="FFC6EFCE"/>
      <rgbColor rgb="FFFFEB9C"/>
      <rgbColor rgb="FFFFF0F0"/>
      <rgbColor rgb="FFFAFAFA"/>
      <rgbColor rgb="FFF8FAFB"/>
      <rgbColor rgb="FFFFC7CE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E3A4F"/>
      <rgbColor rgb="FF339966"/>
      <rgbColor rgb="FF0D1B2A"/>
      <rgbColor rgb="FF1A1A1A"/>
      <rgbColor rgb="FFC0392B"/>
      <rgbColor rgb="FF993366"/>
      <rgbColor rgb="FF1A4F72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8"/>
    <col collapsed="false" customWidth="true" hidden="false" outlineLevel="0" max="9" min="7" style="0" width="22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/>
    <row r="4" customFormat="false" ht="13.5" hidden="false" customHeight="true" outlineLevel="0" collapsed="false"/>
    <row r="5" customFormat="false" ht="49.5" hidden="false" customHeight="true" outlineLevel="0" collapsed="false">
      <c r="C5" s="2" t="s">
        <v>1</v>
      </c>
      <c r="D5" s="2" t="s">
        <v>2</v>
      </c>
      <c r="E5" s="3" t="s">
        <v>3</v>
      </c>
      <c r="F5" s="4" t="s">
        <v>4</v>
      </c>
      <c r="G5" s="5" t="s">
        <v>5</v>
      </c>
      <c r="H5" s="3" t="s">
        <v>6</v>
      </c>
      <c r="I5" s="6" t="s">
        <v>7</v>
      </c>
    </row>
    <row r="6" customFormat="false" ht="25.5" hidden="false" customHeight="true" outlineLevel="0" collapsed="false">
      <c r="C6" s="2"/>
      <c r="D6" s="2"/>
      <c r="E6" s="2"/>
      <c r="F6" s="2"/>
      <c r="G6" s="2"/>
      <c r="H6" s="2"/>
      <c r="I6" s="2"/>
    </row>
    <row r="7" customFormat="false" ht="13.5" hidden="false" customHeight="true" outlineLevel="0" collapsed="false"/>
    <row r="9" customFormat="false" ht="21.75" hidden="false" customHeight="true" outlineLevel="0" collapsed="false">
      <c r="B9" s="7" t="s">
        <v>8</v>
      </c>
      <c r="C9" s="7"/>
      <c r="D9" s="7"/>
      <c r="E9" s="7"/>
      <c r="F9" s="7"/>
      <c r="G9" s="7"/>
      <c r="H9" s="7"/>
      <c r="I9" s="7"/>
    </row>
    <row r="10" customFormat="false" ht="18" hidden="false" customHeight="true" outlineLevel="0" collapsed="false"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8" t="s">
        <v>16</v>
      </c>
      <c r="J10" s="8" t="s">
        <v>17</v>
      </c>
    </row>
    <row r="11" customFormat="false" ht="15.75" hidden="false" customHeight="true" outlineLevel="0" collapsed="false">
      <c r="B11" s="9" t="s">
        <v>18</v>
      </c>
      <c r="C11" s="9" t="n">
        <v>1484</v>
      </c>
      <c r="D11" s="9" t="n">
        <v>406</v>
      </c>
      <c r="E11" s="9" t="n">
        <v>61</v>
      </c>
      <c r="F11" s="10" t="n">
        <v>720880</v>
      </c>
      <c r="G11" s="10" t="n">
        <v>0</v>
      </c>
      <c r="H11" s="9" t="n">
        <f aca="false">IF(F11=0,"-",ROUND(F11/D11,0))</f>
        <v>1776</v>
      </c>
      <c r="I11" s="9" t="str">
        <f aca="false">IFERROR(ROUND(C11/B11*100,1)&amp;"%","-")</f>
        <v>-</v>
      </c>
      <c r="J11" s="9" t="str">
        <f aca="false">IFERROR(ROUND(D11/C11*100,1)&amp;"%","-")</f>
        <v>27.4%</v>
      </c>
    </row>
    <row r="12" customFormat="false" ht="15.75" hidden="false" customHeight="true" outlineLevel="0" collapsed="false">
      <c r="B12" s="11" t="s">
        <v>19</v>
      </c>
      <c r="C12" s="11" t="n">
        <v>1089</v>
      </c>
      <c r="D12" s="11" t="n">
        <v>314</v>
      </c>
      <c r="E12" s="11" t="n">
        <v>38</v>
      </c>
      <c r="F12" s="12" t="n">
        <v>358892</v>
      </c>
      <c r="G12" s="12" t="n">
        <v>0</v>
      </c>
      <c r="H12" s="11" t="n">
        <f aca="false">IF(F12=0,"-",ROUND(F12/D12,0))</f>
        <v>1143</v>
      </c>
      <c r="I12" s="11" t="str">
        <f aca="false">IFERROR(ROUND(C12/B12*100,1)&amp;"%","-")</f>
        <v>-</v>
      </c>
      <c r="J12" s="11" t="str">
        <f aca="false">IFERROR(ROUND(D12/C12*100,1)&amp;"%","-")</f>
        <v>28.8%</v>
      </c>
    </row>
    <row r="13" customFormat="false" ht="15.75" hidden="false" customHeight="true" outlineLevel="0" collapsed="false">
      <c r="B13" s="9" t="s">
        <v>20</v>
      </c>
      <c r="C13" s="9" t="n">
        <v>1828</v>
      </c>
      <c r="D13" s="9" t="n">
        <v>427</v>
      </c>
      <c r="E13" s="9" t="n">
        <v>49</v>
      </c>
      <c r="F13" s="10" t="n">
        <v>582731</v>
      </c>
      <c r="G13" s="10" t="n">
        <v>0</v>
      </c>
      <c r="H13" s="9" t="n">
        <f aca="false">IF(F13=0,"-",ROUND(F13/D13,0))</f>
        <v>1365</v>
      </c>
      <c r="I13" s="9" t="str">
        <f aca="false">IFERROR(ROUND(C13/B13*100,1)&amp;"%","-")</f>
        <v>-</v>
      </c>
      <c r="J13" s="9" t="str">
        <f aca="false">IFERROR(ROUND(D13/C13*100,1)&amp;"%","-")</f>
        <v>23.4%</v>
      </c>
    </row>
    <row r="14" customFormat="false" ht="15.75" hidden="false" customHeight="true" outlineLevel="0" collapsed="false">
      <c r="B14" s="11" t="s">
        <v>21</v>
      </c>
      <c r="C14" s="11" t="n">
        <v>1649</v>
      </c>
      <c r="D14" s="11" t="n">
        <v>323</v>
      </c>
      <c r="E14" s="11" t="n">
        <v>50</v>
      </c>
      <c r="F14" s="12" t="n">
        <v>679745</v>
      </c>
      <c r="G14" s="12" t="n">
        <v>0</v>
      </c>
      <c r="H14" s="11" t="n">
        <f aca="false">IF(F14=0,"-",ROUND(F14/D14,0))</f>
        <v>2104</v>
      </c>
      <c r="I14" s="11" t="str">
        <f aca="false">IFERROR(ROUND(C14/B14*100,1)&amp;"%","-")</f>
        <v>-</v>
      </c>
      <c r="J14" s="11" t="str">
        <f aca="false">IFERROR(ROUND(D14/C14*100,1)&amp;"%","-")</f>
        <v>19.6%</v>
      </c>
    </row>
    <row r="15" customFormat="false" ht="15.75" hidden="false" customHeight="true" outlineLevel="0" collapsed="false">
      <c r="B15" s="9" t="s">
        <v>22</v>
      </c>
      <c r="C15" s="9" t="n">
        <v>1831</v>
      </c>
      <c r="D15" s="9" t="n">
        <v>313</v>
      </c>
      <c r="E15" s="9" t="n">
        <v>44</v>
      </c>
      <c r="F15" s="10" t="n">
        <v>479641</v>
      </c>
      <c r="G15" s="10" t="n">
        <v>0</v>
      </c>
      <c r="H15" s="9" t="n">
        <f aca="false">IF(F15=0,"-",ROUND(F15/D15,0))</f>
        <v>1532</v>
      </c>
      <c r="I15" s="9" t="str">
        <f aca="false">IFERROR(ROUND(C15/B15*100,1)&amp;"%","-")</f>
        <v>-</v>
      </c>
      <c r="J15" s="9" t="str">
        <f aca="false">IFERROR(ROUND(D15/C15*100,1)&amp;"%","-")</f>
        <v>17.1%</v>
      </c>
    </row>
    <row r="16" customFormat="false" ht="15.75" hidden="false" customHeight="true" outlineLevel="0" collapsed="false">
      <c r="B16" s="11" t="s">
        <v>23</v>
      </c>
      <c r="C16" s="11" t="n">
        <v>1962</v>
      </c>
      <c r="D16" s="11" t="n">
        <v>328</v>
      </c>
      <c r="E16" s="11" t="n">
        <v>36</v>
      </c>
      <c r="F16" s="12" t="n">
        <v>348933</v>
      </c>
      <c r="G16" s="12" t="n">
        <v>0</v>
      </c>
      <c r="H16" s="11" t="n">
        <f aca="false">IF(F16=0,"-",ROUND(F16/D16,0))</f>
        <v>1064</v>
      </c>
      <c r="I16" s="11" t="str">
        <f aca="false">IFERROR(ROUND(C16/B16*100,1)&amp;"%","-")</f>
        <v>-</v>
      </c>
      <c r="J16" s="11" t="str">
        <f aca="false">IFERROR(ROUND(D16/C16*100,1)&amp;"%","-")</f>
        <v>16.7%</v>
      </c>
    </row>
    <row r="17" customFormat="false" ht="15.75" hidden="false" customHeight="true" outlineLevel="0" collapsed="false">
      <c r="B17" s="9" t="s">
        <v>24</v>
      </c>
      <c r="C17" s="9" t="n">
        <v>2880</v>
      </c>
      <c r="D17" s="9" t="n">
        <v>429</v>
      </c>
      <c r="E17" s="9" t="n">
        <v>46</v>
      </c>
      <c r="F17" s="10" t="n">
        <v>608013</v>
      </c>
      <c r="G17" s="10" t="n">
        <v>0</v>
      </c>
      <c r="H17" s="9" t="n">
        <f aca="false">IF(F17=0,"-",ROUND(F17/D17,0))</f>
        <v>1417</v>
      </c>
      <c r="I17" s="9" t="str">
        <f aca="false">IFERROR(ROUND(C17/B17*100,1)&amp;"%","-")</f>
        <v>-</v>
      </c>
      <c r="J17" s="9" t="str">
        <f aca="false">IFERROR(ROUND(D17/C17*100,1)&amp;"%","-")</f>
        <v>14.9%</v>
      </c>
    </row>
    <row r="18" customFormat="false" ht="15.75" hidden="false" customHeight="true" outlineLevel="0" collapsed="false">
      <c r="B18" s="11" t="s">
        <v>25</v>
      </c>
      <c r="C18" s="11" t="n">
        <v>2000</v>
      </c>
      <c r="D18" s="11" t="n">
        <v>291</v>
      </c>
      <c r="E18" s="11" t="n">
        <v>39</v>
      </c>
      <c r="F18" s="12" t="n">
        <v>511244</v>
      </c>
      <c r="G18" s="12" t="n">
        <v>0</v>
      </c>
      <c r="H18" s="11" t="n">
        <f aca="false">IF(F18=0,"-",ROUND(F18/D18,0))</f>
        <v>1757</v>
      </c>
      <c r="I18" s="11" t="str">
        <f aca="false">IFERROR(ROUND(C18/B18*100,1)&amp;"%","-")</f>
        <v>-</v>
      </c>
      <c r="J18" s="11" t="str">
        <f aca="false">IFERROR(ROUND(D18/C18*100,1)&amp;"%","-")</f>
        <v>14.6%</v>
      </c>
    </row>
    <row r="19" customFormat="false" ht="15.75" hidden="false" customHeight="true" outlineLevel="0" collapsed="false">
      <c r="B19" s="9" t="s">
        <v>26</v>
      </c>
      <c r="C19" s="9" t="n">
        <v>1423</v>
      </c>
      <c r="D19" s="9" t="n">
        <v>265</v>
      </c>
      <c r="E19" s="9" t="n">
        <v>37</v>
      </c>
      <c r="F19" s="10" t="n">
        <v>536963</v>
      </c>
      <c r="G19" s="10" t="n">
        <v>0</v>
      </c>
      <c r="H19" s="9" t="n">
        <f aca="false">IF(F19=0,"-",ROUND(F19/D19,0))</f>
        <v>2026</v>
      </c>
      <c r="I19" s="9" t="str">
        <f aca="false">IFERROR(ROUND(C19/B19*100,1)&amp;"%","-")</f>
        <v>-</v>
      </c>
      <c r="J19" s="9" t="str">
        <f aca="false">IFERROR(ROUND(D19/C19*100,1)&amp;"%","-")</f>
        <v>18.6%</v>
      </c>
    </row>
    <row r="20" customFormat="false" ht="15.75" hidden="false" customHeight="true" outlineLevel="0" collapsed="false">
      <c r="B20" s="11" t="s">
        <v>27</v>
      </c>
      <c r="C20" s="11" t="n">
        <v>2376</v>
      </c>
      <c r="D20" s="11" t="n">
        <v>500</v>
      </c>
      <c r="E20" s="11" t="n">
        <v>65</v>
      </c>
      <c r="F20" s="12" t="n">
        <v>947345</v>
      </c>
      <c r="G20" s="12" t="n">
        <v>234599</v>
      </c>
      <c r="H20" s="11" t="n">
        <f aca="false">IF(F20=0,"-",ROUND(F20/D20,0))</f>
        <v>1895</v>
      </c>
      <c r="I20" s="11" t="str">
        <f aca="false">IFERROR(ROUND(C20/B20*100,1)&amp;"%","-")</f>
        <v>-</v>
      </c>
      <c r="J20" s="11" t="str">
        <f aca="false">IFERROR(ROUND(D20/C20*100,1)&amp;"%","-")</f>
        <v>21%</v>
      </c>
    </row>
    <row r="21" customFormat="false" ht="15.75" hidden="false" customHeight="true" outlineLevel="0" collapsed="false">
      <c r="B21" s="9" t="s">
        <v>28</v>
      </c>
      <c r="C21" s="9" t="n">
        <v>2000</v>
      </c>
      <c r="D21" s="9" t="n">
        <v>498</v>
      </c>
      <c r="E21" s="9" t="n">
        <v>60</v>
      </c>
      <c r="F21" s="10" t="n">
        <v>756741</v>
      </c>
      <c r="G21" s="10" t="n">
        <v>229267</v>
      </c>
      <c r="H21" s="9" t="n">
        <f aca="false">IF(F21=0,"-",ROUND(F21/D21,0))</f>
        <v>1520</v>
      </c>
      <c r="I21" s="9" t="str">
        <f aca="false">IFERROR(ROUND(C21/B21*100,1)&amp;"%","-")</f>
        <v>-</v>
      </c>
      <c r="J21" s="9" t="str">
        <f aca="false">IFERROR(ROUND(D21/C21*100,1)&amp;"%","-")</f>
        <v>24.9%</v>
      </c>
    </row>
    <row r="22" customFormat="false" ht="15.75" hidden="false" customHeight="true" outlineLevel="0" collapsed="false">
      <c r="B22" s="11" t="s">
        <v>29</v>
      </c>
      <c r="C22" s="11" t="n">
        <v>2170</v>
      </c>
      <c r="D22" s="11" t="n">
        <v>648</v>
      </c>
      <c r="E22" s="13" t="n">
        <v>94</v>
      </c>
      <c r="F22" s="12" t="n">
        <v>1179022</v>
      </c>
      <c r="G22" s="12" t="n">
        <v>291635</v>
      </c>
      <c r="H22" s="11" t="n">
        <f aca="false">IF(F22=0,"-",ROUND(F22/D22,0))</f>
        <v>1819</v>
      </c>
      <c r="I22" s="11" t="str">
        <f aca="false">IFERROR(ROUND(C22/B22*100,1)&amp;"%","-")</f>
        <v>-</v>
      </c>
      <c r="J22" s="11" t="str">
        <f aca="false">IFERROR(ROUND(D22/C22*100,1)&amp;"%","-")</f>
        <v>29.9%</v>
      </c>
    </row>
    <row r="23" customFormat="false" ht="15.75" hidden="false" customHeight="true" outlineLevel="0" collapsed="false">
      <c r="B23" s="9" t="s">
        <v>30</v>
      </c>
      <c r="C23" s="9" t="n">
        <v>2422</v>
      </c>
      <c r="D23" s="9" t="n">
        <v>751</v>
      </c>
      <c r="E23" s="13" t="n">
        <v>93</v>
      </c>
      <c r="F23" s="10" t="n">
        <v>1177055</v>
      </c>
      <c r="G23" s="10" t="n">
        <v>308352</v>
      </c>
      <c r="H23" s="9" t="n">
        <f aca="false">IF(F23=0,"-",ROUND(F23/D23,0))</f>
        <v>1567</v>
      </c>
      <c r="I23" s="9" t="str">
        <f aca="false">IFERROR(ROUND(C23/B23*100,1)&amp;"%","-")</f>
        <v>-</v>
      </c>
      <c r="J23" s="9" t="str">
        <f aca="false">IFERROR(ROUND(D23/C23*100,1)&amp;"%","-")</f>
        <v>31%</v>
      </c>
    </row>
    <row r="24" customFormat="false" ht="15.75" hidden="false" customHeight="true" outlineLevel="0" collapsed="false">
      <c r="B24" s="11" t="s">
        <v>31</v>
      </c>
      <c r="C24" s="11" t="n">
        <v>2442</v>
      </c>
      <c r="D24" s="11" t="n">
        <v>701</v>
      </c>
      <c r="E24" s="11" t="n">
        <v>75</v>
      </c>
      <c r="F24" s="12" t="n">
        <v>912073</v>
      </c>
      <c r="G24" s="12" t="n">
        <v>293674</v>
      </c>
      <c r="H24" s="11" t="n">
        <f aca="false">IF(F24=0,"-",ROUND(F24/D24,0))</f>
        <v>1301</v>
      </c>
      <c r="I24" s="11" t="str">
        <f aca="false">IFERROR(ROUND(C24/B24*100,1)&amp;"%","-")</f>
        <v>-</v>
      </c>
      <c r="J24" s="11" t="str">
        <f aca="false">IFERROR(ROUND(D24/C24*100,1)&amp;"%","-")</f>
        <v>28.7%</v>
      </c>
    </row>
    <row r="25" customFormat="false" ht="15.75" hidden="false" customHeight="true" outlineLevel="0" collapsed="false">
      <c r="B25" s="9" t="s">
        <v>32</v>
      </c>
      <c r="C25" s="9" t="n">
        <v>1956</v>
      </c>
      <c r="D25" s="9" t="n">
        <v>594</v>
      </c>
      <c r="E25" s="9" t="n">
        <v>74</v>
      </c>
      <c r="F25" s="10" t="n">
        <v>978322</v>
      </c>
      <c r="G25" s="10" t="n">
        <v>296469</v>
      </c>
      <c r="H25" s="9" t="n">
        <f aca="false">IF(F25=0,"-",ROUND(F25/D25,0))</f>
        <v>1647</v>
      </c>
      <c r="I25" s="9" t="str">
        <f aca="false">IFERROR(ROUND(C25/B25*100,1)&amp;"%","-")</f>
        <v>-</v>
      </c>
      <c r="J25" s="9" t="str">
        <f aca="false">IFERROR(ROUND(D25/C25*100,1)&amp;"%","-")</f>
        <v>30.4%</v>
      </c>
    </row>
    <row r="26" customFormat="false" ht="15.75" hidden="false" customHeight="true" outlineLevel="0" collapsed="false">
      <c r="B26" s="11" t="s">
        <v>33</v>
      </c>
      <c r="C26" s="11" t="n">
        <v>2164</v>
      </c>
      <c r="D26" s="11" t="n">
        <v>678</v>
      </c>
      <c r="E26" s="11" t="n">
        <v>80</v>
      </c>
      <c r="F26" s="12" t="n">
        <v>1149168</v>
      </c>
      <c r="G26" s="12" t="n">
        <v>317421</v>
      </c>
      <c r="H26" s="11" t="n">
        <f aca="false">IF(F26=0,"-",ROUND(F26/D26,0))</f>
        <v>1695</v>
      </c>
      <c r="I26" s="11" t="str">
        <f aca="false">IFERROR(ROUND(C26/B26*100,1)&amp;"%","-")</f>
        <v>-</v>
      </c>
      <c r="J26" s="11" t="str">
        <f aca="false">IFERROR(ROUND(D26/C26*100,1)&amp;"%","-")</f>
        <v>31.3%</v>
      </c>
    </row>
    <row r="27" customFormat="false" ht="15.75" hidden="false" customHeight="true" outlineLevel="0" collapsed="false">
      <c r="B27" s="9" t="s">
        <v>34</v>
      </c>
      <c r="C27" s="9" t="n">
        <v>2970</v>
      </c>
      <c r="D27" s="9" t="n">
        <v>828</v>
      </c>
      <c r="E27" s="9" t="n">
        <v>86</v>
      </c>
      <c r="F27" s="10" t="n">
        <v>1151871</v>
      </c>
      <c r="G27" s="10" t="n">
        <v>427869</v>
      </c>
      <c r="H27" s="9" t="n">
        <f aca="false">IF(F27=0,"-",ROUND(F27/D27,0))</f>
        <v>1391</v>
      </c>
      <c r="I27" s="9" t="str">
        <f aca="false">IFERROR(ROUND(C27/B27*100,1)&amp;"%","-")</f>
        <v>-</v>
      </c>
      <c r="J27" s="9" t="str">
        <f aca="false">IFERROR(ROUND(D27/C27*100,1)&amp;"%","-")</f>
        <v>27.9%</v>
      </c>
    </row>
    <row r="28" customFormat="false" ht="15.75" hidden="false" customHeight="true" outlineLevel="0" collapsed="false">
      <c r="B28" s="11" t="s">
        <v>35</v>
      </c>
      <c r="C28" s="11" t="n">
        <v>3309</v>
      </c>
      <c r="D28" s="11" t="n">
        <v>850</v>
      </c>
      <c r="E28" s="11" t="n">
        <v>120</v>
      </c>
      <c r="F28" s="12" t="n">
        <v>1526634</v>
      </c>
      <c r="G28" s="12" t="n">
        <v>463317</v>
      </c>
      <c r="H28" s="11" t="n">
        <f aca="false">IF(F28=0,"-",ROUND(F28/D28,0))</f>
        <v>1796</v>
      </c>
      <c r="I28" s="11" t="str">
        <f aca="false">IFERROR(ROUND(C28/B28*100,1)&amp;"%","-")</f>
        <v>-</v>
      </c>
      <c r="J28" s="11" t="str">
        <f aca="false">IFERROR(ROUND(D28/C28*100,1)&amp;"%","-")</f>
        <v>25.7%</v>
      </c>
    </row>
    <row r="29" customFormat="false" ht="15.75" hidden="false" customHeight="true" outlineLevel="0" collapsed="false">
      <c r="B29" s="9" t="s">
        <v>36</v>
      </c>
      <c r="C29" s="9" t="n">
        <v>3838</v>
      </c>
      <c r="D29" s="9" t="n">
        <v>862</v>
      </c>
      <c r="E29" s="9" t="n">
        <v>98</v>
      </c>
      <c r="F29" s="10" t="n">
        <v>1280455</v>
      </c>
      <c r="G29" s="10" t="n">
        <v>477021</v>
      </c>
      <c r="H29" s="9" t="n">
        <f aca="false">IF(F29=0,"-",ROUND(F29/D29,0))</f>
        <v>1485</v>
      </c>
      <c r="I29" s="9" t="str">
        <f aca="false">IFERROR(ROUND(C29/B29*100,1)&amp;"%","-")</f>
        <v>-</v>
      </c>
      <c r="J29" s="9" t="str">
        <f aca="false">IFERROR(ROUND(D29/C29*100,1)&amp;"%","-")</f>
        <v>22.5%</v>
      </c>
    </row>
    <row r="30" customFormat="false" ht="15.75" hidden="false" customHeight="true" outlineLevel="0" collapsed="false">
      <c r="B30" s="11" t="s">
        <v>37</v>
      </c>
      <c r="C30" s="11" t="n">
        <v>2653</v>
      </c>
      <c r="D30" s="11" t="n">
        <v>651</v>
      </c>
      <c r="E30" s="14" t="n">
        <v>73</v>
      </c>
      <c r="F30" s="12" t="n">
        <v>942659</v>
      </c>
      <c r="G30" s="12" t="n">
        <v>374701</v>
      </c>
      <c r="H30" s="11" t="n">
        <f aca="false">IF(F30=0,"-",ROUND(F30/D30,0))</f>
        <v>1448</v>
      </c>
      <c r="I30" s="11" t="str">
        <f aca="false">IFERROR(ROUND(C30/B30*100,1)&amp;"%","-")</f>
        <v>-</v>
      </c>
      <c r="J30" s="11" t="str">
        <f aca="false">IFERROR(ROUND(D30/C30*100,1)&amp;"%","-")</f>
        <v>24.5%</v>
      </c>
    </row>
    <row r="31" customFormat="false" ht="15.75" hidden="false" customHeight="true" outlineLevel="0" collapsed="false">
      <c r="B31" s="9" t="s">
        <v>38</v>
      </c>
      <c r="C31" s="9" t="n">
        <v>2394</v>
      </c>
      <c r="D31" s="9" t="n">
        <v>576</v>
      </c>
      <c r="E31" s="9" t="n">
        <v>73</v>
      </c>
      <c r="F31" s="10" t="n">
        <v>926850</v>
      </c>
      <c r="G31" s="10" t="n">
        <v>358508</v>
      </c>
      <c r="H31" s="9" t="n">
        <f aca="false">IF(F31=0,"-",ROUND(F31/D31,0))</f>
        <v>1609</v>
      </c>
      <c r="I31" s="9" t="str">
        <f aca="false">IFERROR(ROUND(C31/B31*100,1)&amp;"%","-")</f>
        <v>-</v>
      </c>
      <c r="J31" s="9" t="str">
        <f aca="false">IFERROR(ROUND(D31/C31*100,1)&amp;"%","-")</f>
        <v>24.1%</v>
      </c>
    </row>
    <row r="32" customFormat="false" ht="15.75" hidden="false" customHeight="true" outlineLevel="0" collapsed="false">
      <c r="B32" s="11" t="s">
        <v>39</v>
      </c>
      <c r="C32" s="11" t="n">
        <v>3055</v>
      </c>
      <c r="D32" s="11" t="n">
        <v>735</v>
      </c>
      <c r="E32" s="11" t="n">
        <v>89</v>
      </c>
      <c r="F32" s="12" t="n">
        <v>1225380</v>
      </c>
      <c r="G32" s="12" t="n">
        <v>414103</v>
      </c>
      <c r="H32" s="11" t="n">
        <f aca="false">IF(F32=0,"-",ROUND(F32/D32,0))</f>
        <v>1667</v>
      </c>
      <c r="I32" s="11" t="str">
        <f aca="false">IFERROR(ROUND(C32/B32*100,1)&amp;"%","-")</f>
        <v>-</v>
      </c>
      <c r="J32" s="11" t="str">
        <f aca="false">IFERROR(ROUND(D32/C32*100,1)&amp;"%","-")</f>
        <v>24.1%</v>
      </c>
    </row>
    <row r="33" customFormat="false" ht="15.75" hidden="false" customHeight="true" outlineLevel="0" collapsed="false">
      <c r="B33" s="9" t="s">
        <v>40</v>
      </c>
      <c r="C33" s="9" t="n">
        <v>2903</v>
      </c>
      <c r="D33" s="9" t="n">
        <v>631</v>
      </c>
      <c r="E33" s="9" t="n">
        <v>96</v>
      </c>
      <c r="F33" s="10" t="n">
        <v>1166411</v>
      </c>
      <c r="G33" s="10" t="n">
        <v>365140</v>
      </c>
      <c r="H33" s="9" t="n">
        <f aca="false">IF(F33=0,"-",ROUND(F33/D33,0))</f>
        <v>1849</v>
      </c>
      <c r="I33" s="9" t="str">
        <f aca="false">IFERROR(ROUND(C33/B33*100,1)&amp;"%","-")</f>
        <v>-</v>
      </c>
      <c r="J33" s="9" t="str">
        <f aca="false">IFERROR(ROUND(D33/C33*100,1)&amp;"%","-")</f>
        <v>21.7%</v>
      </c>
    </row>
    <row r="34" customFormat="false" ht="15.75" hidden="false" customHeight="true" outlineLevel="0" collapsed="false">
      <c r="B34" s="11" t="s">
        <v>41</v>
      </c>
      <c r="C34" s="11" t="n">
        <v>4526</v>
      </c>
      <c r="D34" s="11" t="n">
        <v>1009</v>
      </c>
      <c r="E34" s="11" t="n">
        <v>123</v>
      </c>
      <c r="F34" s="12" t="n">
        <v>1478675</v>
      </c>
      <c r="G34" s="12" t="n">
        <v>541780</v>
      </c>
      <c r="H34" s="11" t="n">
        <f aca="false">IF(F34=0,"-",ROUND(F34/D34,0))</f>
        <v>1465</v>
      </c>
      <c r="I34" s="11" t="str">
        <f aca="false">IFERROR(ROUND(C34/B34*100,1)&amp;"%","-")</f>
        <v>-</v>
      </c>
      <c r="J34" s="11" t="str">
        <f aca="false">IFERROR(ROUND(D34/C34*100,1)&amp;"%","-")</f>
        <v>22.3%</v>
      </c>
    </row>
    <row r="35" customFormat="false" ht="18" hidden="false" customHeight="true" outlineLevel="0" collapsed="false">
      <c r="B35" s="15" t="s">
        <v>42</v>
      </c>
      <c r="C35" s="16" t="n">
        <f aca="false">SUM(C11:C34)</f>
        <v>57324</v>
      </c>
      <c r="D35" s="16" t="n">
        <f aca="false">SUM(D11:D34)</f>
        <v>13608</v>
      </c>
      <c r="E35" s="17" t="n">
        <f aca="false">SUM(E11:E34)</f>
        <v>1699</v>
      </c>
      <c r="F35" s="17" t="n">
        <f aca="false">SUM(F11:F34)</f>
        <v>21625703</v>
      </c>
      <c r="G35" s="16" t="n">
        <f aca="false">SUM(G11:G34)</f>
        <v>5393856</v>
      </c>
    </row>
    <row r="37" customFormat="false" ht="15" hidden="false" customHeight="true" outlineLevel="0" collapsed="false">
      <c r="B37" s="7" t="s">
        <v>43</v>
      </c>
      <c r="C37" s="7"/>
      <c r="D37" s="7"/>
      <c r="E37" s="7"/>
      <c r="F37" s="7"/>
      <c r="G37" s="7"/>
      <c r="H37" s="7"/>
      <c r="I37" s="7"/>
    </row>
    <row r="38" customFormat="false" ht="18" hidden="false" customHeight="true" outlineLevel="0" collapsed="false">
      <c r="B38" s="18" t="s">
        <v>44</v>
      </c>
      <c r="C38" s="18"/>
      <c r="D38" s="18"/>
      <c r="E38" s="18"/>
      <c r="F38" s="18"/>
      <c r="G38" s="18"/>
      <c r="H38" s="18"/>
      <c r="I38" s="18"/>
    </row>
    <row r="39" customFormat="false" ht="18" hidden="false" customHeight="true" outlineLevel="0" collapsed="false">
      <c r="B39" s="19" t="s">
        <v>45</v>
      </c>
      <c r="C39" s="19"/>
      <c r="D39" s="19"/>
      <c r="E39" s="19"/>
      <c r="F39" s="19"/>
      <c r="G39" s="19"/>
      <c r="H39" s="19"/>
      <c r="I39" s="19"/>
    </row>
    <row r="40" customFormat="false" ht="18" hidden="false" customHeight="true" outlineLevel="0" collapsed="false">
      <c r="B40" s="18" t="s">
        <v>46</v>
      </c>
      <c r="C40" s="18"/>
      <c r="D40" s="18"/>
      <c r="E40" s="18"/>
      <c r="F40" s="18"/>
      <c r="G40" s="18"/>
      <c r="H40" s="18"/>
      <c r="I40" s="18"/>
    </row>
    <row r="41" customFormat="false" ht="18" hidden="false" customHeight="true" outlineLevel="0" collapsed="false">
      <c r="B41" s="19" t="s">
        <v>47</v>
      </c>
      <c r="C41" s="19"/>
      <c r="D41" s="19"/>
      <c r="E41" s="19"/>
      <c r="F41" s="19"/>
      <c r="G41" s="19"/>
      <c r="H41" s="19"/>
      <c r="I41" s="19"/>
    </row>
    <row r="42" customFormat="false" ht="18" hidden="false" customHeight="true" outlineLevel="0" collapsed="false">
      <c r="B42" s="18" t="s">
        <v>48</v>
      </c>
      <c r="C42" s="18"/>
      <c r="D42" s="18"/>
      <c r="E42" s="18"/>
      <c r="F42" s="18"/>
      <c r="G42" s="18"/>
      <c r="H42" s="18"/>
      <c r="I42" s="18"/>
    </row>
    <row r="43" customFormat="false" ht="18" hidden="false" customHeight="true" outlineLevel="0" collapsed="false">
      <c r="B43" s="19" t="s">
        <v>49</v>
      </c>
      <c r="C43" s="19"/>
      <c r="D43" s="19"/>
      <c r="E43" s="19"/>
      <c r="F43" s="19"/>
      <c r="G43" s="19"/>
      <c r="H43" s="19"/>
      <c r="I43" s="19"/>
    </row>
  </sheetData>
  <mergeCells count="16">
    <mergeCell ref="B2:I2"/>
    <mergeCell ref="C5:C6"/>
    <mergeCell ref="D5:D6"/>
    <mergeCell ref="E5:E6"/>
    <mergeCell ref="F5:F6"/>
    <mergeCell ref="G5:G6"/>
    <mergeCell ref="H5:H6"/>
    <mergeCell ref="I5:I6"/>
    <mergeCell ref="B9:I9"/>
    <mergeCell ref="B37:I37"/>
    <mergeCell ref="B38:I38"/>
    <mergeCell ref="B39:I39"/>
    <mergeCell ref="B40:I40"/>
    <mergeCell ref="B41:I41"/>
    <mergeCell ref="B42:I42"/>
    <mergeCell ref="B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26"/>
  </cols>
  <sheetData>
    <row r="2" customFormat="false" ht="34.5" hidden="false" customHeight="true" outlineLevel="0" collapsed="false">
      <c r="B2" s="20" t="s">
        <v>50</v>
      </c>
      <c r="C2" s="20"/>
      <c r="D2" s="20"/>
      <c r="E2" s="20"/>
      <c r="F2" s="20"/>
      <c r="G2" s="20"/>
      <c r="H2" s="20"/>
      <c r="I2" s="20"/>
    </row>
    <row r="4" customFormat="false" ht="19.5" hidden="false" customHeight="true" outlineLevel="0" collapsed="false"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</row>
    <row r="5" customFormat="false" ht="21.75" hidden="false" customHeight="true" outlineLevel="0" collapsed="false">
      <c r="B5" s="21" t="s">
        <v>58</v>
      </c>
      <c r="C5" s="22" t="s">
        <v>59</v>
      </c>
      <c r="D5" s="21" t="s">
        <v>60</v>
      </c>
      <c r="E5" s="23" t="n">
        <v>70074</v>
      </c>
      <c r="F5" s="21" t="n">
        <v>4</v>
      </c>
      <c r="G5" s="21" t="s">
        <v>61</v>
      </c>
      <c r="H5" s="22" t="s">
        <v>62</v>
      </c>
    </row>
    <row r="6" customFormat="false" ht="21.75" hidden="false" customHeight="true" outlineLevel="0" collapsed="false">
      <c r="B6" s="24" t="s">
        <v>63</v>
      </c>
      <c r="C6" s="25" t="s">
        <v>64</v>
      </c>
      <c r="D6" s="24" t="s">
        <v>65</v>
      </c>
      <c r="E6" s="26" t="n">
        <v>190449</v>
      </c>
      <c r="F6" s="24" t="n">
        <v>2956</v>
      </c>
      <c r="G6" s="27" t="n">
        <v>64</v>
      </c>
      <c r="H6" s="25" t="s">
        <v>66</v>
      </c>
    </row>
    <row r="7" customFormat="false" ht="21.75" hidden="false" customHeight="true" outlineLevel="0" collapsed="false">
      <c r="B7" s="21" t="s">
        <v>67</v>
      </c>
      <c r="C7" s="22" t="s">
        <v>68</v>
      </c>
      <c r="D7" s="21" t="s">
        <v>69</v>
      </c>
      <c r="E7" s="23" t="n">
        <v>1793946</v>
      </c>
      <c r="F7" s="21" t="n">
        <v>16289</v>
      </c>
      <c r="G7" s="28" t="n">
        <v>110</v>
      </c>
      <c r="H7" s="22" t="s">
        <v>70</v>
      </c>
    </row>
    <row r="8" customFormat="false" ht="21.75" hidden="false" customHeight="true" outlineLevel="0" collapsed="false">
      <c r="B8" s="24" t="s">
        <v>71</v>
      </c>
      <c r="C8" s="25" t="s">
        <v>72</v>
      </c>
      <c r="D8" s="24" t="s">
        <v>73</v>
      </c>
      <c r="E8" s="26" t="n">
        <v>2029340</v>
      </c>
      <c r="F8" s="24" t="n">
        <v>14174</v>
      </c>
      <c r="G8" s="29" t="n">
        <v>143</v>
      </c>
      <c r="H8" s="25" t="s">
        <v>74</v>
      </c>
    </row>
    <row r="9" customFormat="false" ht="21.75" hidden="false" customHeight="true" outlineLevel="0" collapsed="false">
      <c r="B9" s="21" t="s">
        <v>75</v>
      </c>
      <c r="C9" s="22" t="s">
        <v>76</v>
      </c>
      <c r="D9" s="21" t="s">
        <v>73</v>
      </c>
      <c r="E9" s="23" t="n">
        <v>699143</v>
      </c>
      <c r="F9" s="21" t="n">
        <v>4732</v>
      </c>
      <c r="G9" s="29" t="n">
        <v>148</v>
      </c>
      <c r="H9" s="22" t="s">
        <v>77</v>
      </c>
    </row>
    <row r="10" customFormat="false" ht="21.75" hidden="false" customHeight="true" outlineLevel="0" collapsed="false">
      <c r="B10" s="24" t="s">
        <v>78</v>
      </c>
      <c r="C10" s="25" t="s">
        <v>79</v>
      </c>
      <c r="D10" s="24" t="s">
        <v>73</v>
      </c>
      <c r="E10" s="26" t="n">
        <v>373337</v>
      </c>
      <c r="F10" s="24" t="n">
        <v>3743</v>
      </c>
      <c r="G10" s="28" t="n">
        <v>100</v>
      </c>
      <c r="H10" s="25" t="s">
        <v>80</v>
      </c>
    </row>
    <row r="11" customFormat="false" ht="21.75" hidden="false" customHeight="true" outlineLevel="0" collapsed="false">
      <c r="B11" s="21" t="s">
        <v>81</v>
      </c>
      <c r="C11" s="22" t="s">
        <v>82</v>
      </c>
      <c r="D11" s="21" t="s">
        <v>83</v>
      </c>
      <c r="E11" s="23" t="n">
        <v>724049</v>
      </c>
      <c r="F11" s="21" t="n">
        <v>8219</v>
      </c>
      <c r="G11" s="28" t="n">
        <v>88</v>
      </c>
      <c r="H11" s="22" t="s">
        <v>84</v>
      </c>
    </row>
    <row r="12" customFormat="false" ht="21.75" hidden="false" customHeight="true" outlineLevel="0" collapsed="false">
      <c r="B12" s="24" t="s">
        <v>85</v>
      </c>
      <c r="C12" s="25" t="s">
        <v>86</v>
      </c>
      <c r="D12" s="24" t="s">
        <v>73</v>
      </c>
      <c r="E12" s="26" t="n">
        <v>508148</v>
      </c>
      <c r="F12" s="24" t="n">
        <v>3007</v>
      </c>
      <c r="G12" s="29" t="n">
        <v>169</v>
      </c>
      <c r="H12" s="25" t="s">
        <v>87</v>
      </c>
    </row>
    <row r="13" customFormat="false" ht="21.75" hidden="false" customHeight="true" outlineLevel="0" collapsed="false">
      <c r="B13" s="21" t="s">
        <v>88</v>
      </c>
      <c r="C13" s="22" t="s">
        <v>89</v>
      </c>
      <c r="D13" s="21" t="s">
        <v>90</v>
      </c>
      <c r="E13" s="23" t="n">
        <v>820905</v>
      </c>
      <c r="F13" s="21" t="n">
        <v>6064</v>
      </c>
      <c r="G13" s="29" t="n">
        <v>135</v>
      </c>
      <c r="H13" s="22" t="s">
        <v>91</v>
      </c>
    </row>
    <row r="14" customFormat="false" ht="21.75" hidden="false" customHeight="true" outlineLevel="0" collapsed="false">
      <c r="B14" s="24" t="s">
        <v>92</v>
      </c>
      <c r="C14" s="25" t="s">
        <v>93</v>
      </c>
      <c r="D14" s="24" t="s">
        <v>94</v>
      </c>
      <c r="E14" s="26" t="n">
        <v>0</v>
      </c>
      <c r="F14" s="24" t="n">
        <v>0</v>
      </c>
      <c r="G14" s="24" t="s">
        <v>61</v>
      </c>
      <c r="H14" s="25" t="s">
        <v>95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7" min="5" style="0" width="14"/>
  </cols>
  <sheetData>
    <row r="2" customFormat="false" ht="30" hidden="false" customHeight="true" outlineLevel="0" collapsed="false">
      <c r="A2" s="30" t="s">
        <v>96</v>
      </c>
      <c r="B2" s="30"/>
      <c r="C2" s="30"/>
      <c r="D2" s="30"/>
      <c r="E2" s="30"/>
      <c r="F2" s="30"/>
      <c r="G2" s="30"/>
    </row>
    <row r="3" customFormat="false" ht="9.75" hidden="false" customHeight="true" outlineLevel="0" collapsed="false"/>
    <row r="4" customFormat="false" ht="19.5" hidden="false" customHeight="true" outlineLevel="0" collapsed="false">
      <c r="A4" s="8" t="s">
        <v>97</v>
      </c>
      <c r="B4" s="8" t="s">
        <v>52</v>
      </c>
      <c r="C4" s="8" t="s">
        <v>98</v>
      </c>
      <c r="D4" s="8" t="s">
        <v>14</v>
      </c>
      <c r="E4" s="8" t="s">
        <v>99</v>
      </c>
      <c r="F4" s="8" t="s">
        <v>100</v>
      </c>
      <c r="G4" s="8" t="s">
        <v>101</v>
      </c>
    </row>
    <row r="5" customFormat="false" ht="15.75" hidden="false" customHeight="true" outlineLevel="0" collapsed="false">
      <c r="A5" s="31" t="s">
        <v>58</v>
      </c>
      <c r="B5" s="32" t="s">
        <v>59</v>
      </c>
      <c r="C5" s="32" t="s">
        <v>102</v>
      </c>
      <c r="D5" s="33" t="n">
        <v>31814.49</v>
      </c>
      <c r="E5" s="31" t="n">
        <v>0</v>
      </c>
      <c r="F5" s="31" t="s">
        <v>61</v>
      </c>
      <c r="G5" s="31" t="s">
        <v>103</v>
      </c>
    </row>
    <row r="6" customFormat="false" ht="15.75" hidden="false" customHeight="true" outlineLevel="0" collapsed="false">
      <c r="A6" s="34" t="s">
        <v>58</v>
      </c>
      <c r="B6" s="35" t="s">
        <v>59</v>
      </c>
      <c r="C6" s="35" t="s">
        <v>104</v>
      </c>
      <c r="D6" s="36" t="n">
        <v>31034.74</v>
      </c>
      <c r="E6" s="34" t="n">
        <v>0</v>
      </c>
      <c r="F6" s="34" t="s">
        <v>61</v>
      </c>
      <c r="G6" s="34" t="s">
        <v>103</v>
      </c>
    </row>
    <row r="7" customFormat="false" ht="15.75" hidden="false" customHeight="true" outlineLevel="0" collapsed="false">
      <c r="A7" s="31" t="s">
        <v>58</v>
      </c>
      <c r="B7" s="32" t="s">
        <v>59</v>
      </c>
      <c r="C7" s="32" t="s">
        <v>105</v>
      </c>
      <c r="D7" s="33" t="n">
        <v>3210.17</v>
      </c>
      <c r="E7" s="31" t="n">
        <v>4</v>
      </c>
      <c r="F7" s="37" t="n">
        <v>802.54</v>
      </c>
      <c r="G7" s="31" t="s">
        <v>106</v>
      </c>
    </row>
    <row r="8" customFormat="false" ht="15.75" hidden="false" customHeight="true" outlineLevel="0" collapsed="false">
      <c r="A8" s="34" t="s">
        <v>58</v>
      </c>
      <c r="B8" s="35" t="s">
        <v>59</v>
      </c>
      <c r="C8" s="35" t="s">
        <v>107</v>
      </c>
      <c r="D8" s="36" t="n">
        <v>2409.01</v>
      </c>
      <c r="E8" s="34" t="n">
        <v>0</v>
      </c>
      <c r="F8" s="34" t="s">
        <v>61</v>
      </c>
      <c r="G8" s="34" t="s">
        <v>103</v>
      </c>
    </row>
    <row r="9" customFormat="false" ht="15.75" hidden="false" customHeight="true" outlineLevel="0" collapsed="false">
      <c r="A9" s="31" t="s">
        <v>58</v>
      </c>
      <c r="B9" s="32" t="s">
        <v>59</v>
      </c>
      <c r="C9" s="32" t="s">
        <v>108</v>
      </c>
      <c r="D9" s="33" t="n">
        <v>1605.92</v>
      </c>
      <c r="E9" s="31" t="n">
        <v>0</v>
      </c>
      <c r="F9" s="31" t="s">
        <v>61</v>
      </c>
      <c r="G9" s="31" t="s">
        <v>103</v>
      </c>
    </row>
    <row r="10" customFormat="false" ht="15.75" hidden="false" customHeight="true" outlineLevel="0" collapsed="false">
      <c r="A10" s="34" t="s">
        <v>63</v>
      </c>
      <c r="B10" s="35" t="s">
        <v>64</v>
      </c>
      <c r="C10" s="35" t="s">
        <v>109</v>
      </c>
      <c r="D10" s="36" t="n">
        <v>143217.31</v>
      </c>
      <c r="E10" s="34" t="n">
        <v>2370</v>
      </c>
      <c r="F10" s="38" t="n">
        <v>60.43</v>
      </c>
      <c r="G10" s="34" t="s">
        <v>110</v>
      </c>
    </row>
    <row r="11" customFormat="false" ht="15.75" hidden="false" customHeight="true" outlineLevel="0" collapsed="false">
      <c r="A11" s="31" t="s">
        <v>63</v>
      </c>
      <c r="B11" s="32" t="s">
        <v>64</v>
      </c>
      <c r="C11" s="32" t="s">
        <v>111</v>
      </c>
      <c r="D11" s="33" t="n">
        <v>39047.2</v>
      </c>
      <c r="E11" s="31" t="n">
        <v>485</v>
      </c>
      <c r="F11" s="39" t="n">
        <v>80.51</v>
      </c>
      <c r="G11" s="31" t="s">
        <v>112</v>
      </c>
    </row>
    <row r="12" customFormat="false" ht="15.75" hidden="false" customHeight="true" outlineLevel="0" collapsed="false">
      <c r="A12" s="34" t="s">
        <v>63</v>
      </c>
      <c r="B12" s="35" t="s">
        <v>64</v>
      </c>
      <c r="C12" s="35" t="s">
        <v>113</v>
      </c>
      <c r="D12" s="36" t="n">
        <v>4767.23</v>
      </c>
      <c r="E12" s="34" t="n">
        <v>63</v>
      </c>
      <c r="F12" s="38" t="n">
        <v>75.67</v>
      </c>
      <c r="G12" s="34" t="s">
        <v>110</v>
      </c>
    </row>
    <row r="13" customFormat="false" ht="15.75" hidden="false" customHeight="true" outlineLevel="0" collapsed="false">
      <c r="A13" s="31" t="s">
        <v>63</v>
      </c>
      <c r="B13" s="32" t="s">
        <v>64</v>
      </c>
      <c r="C13" s="32" t="s">
        <v>114</v>
      </c>
      <c r="D13" s="33" t="n">
        <v>1776.89</v>
      </c>
      <c r="E13" s="31" t="n">
        <v>33</v>
      </c>
      <c r="F13" s="38" t="n">
        <v>53.85</v>
      </c>
      <c r="G13" s="31" t="s">
        <v>110</v>
      </c>
    </row>
    <row r="14" customFormat="false" ht="15.75" hidden="false" customHeight="true" outlineLevel="0" collapsed="false">
      <c r="A14" s="34" t="s">
        <v>63</v>
      </c>
      <c r="B14" s="35" t="s">
        <v>64</v>
      </c>
      <c r="C14" s="35" t="s">
        <v>115</v>
      </c>
      <c r="D14" s="36" t="n">
        <v>466.83</v>
      </c>
      <c r="E14" s="34" t="n">
        <v>2</v>
      </c>
      <c r="F14" s="37" t="n">
        <v>233.42</v>
      </c>
      <c r="G14" s="34" t="s">
        <v>116</v>
      </c>
    </row>
    <row r="15" customFormat="false" ht="15.75" hidden="false" customHeight="true" outlineLevel="0" collapsed="false">
      <c r="A15" s="31" t="s">
        <v>63</v>
      </c>
      <c r="B15" s="32" t="s">
        <v>64</v>
      </c>
      <c r="C15" s="32" t="s">
        <v>117</v>
      </c>
      <c r="D15" s="33" t="n">
        <v>353.87</v>
      </c>
      <c r="E15" s="31" t="n">
        <v>1</v>
      </c>
      <c r="F15" s="37" t="n">
        <v>353.87</v>
      </c>
      <c r="G15" s="31" t="s">
        <v>106</v>
      </c>
    </row>
    <row r="16" customFormat="false" ht="15.75" hidden="false" customHeight="true" outlineLevel="0" collapsed="false">
      <c r="A16" s="34" t="s">
        <v>63</v>
      </c>
      <c r="B16" s="35" t="s">
        <v>64</v>
      </c>
      <c r="C16" s="35" t="s">
        <v>118</v>
      </c>
      <c r="D16" s="36" t="n">
        <v>351.78</v>
      </c>
      <c r="E16" s="34" t="n">
        <v>1</v>
      </c>
      <c r="F16" s="37" t="n">
        <v>351.78</v>
      </c>
      <c r="G16" s="34" t="s">
        <v>106</v>
      </c>
    </row>
    <row r="17" customFormat="false" ht="15.75" hidden="false" customHeight="true" outlineLevel="0" collapsed="false">
      <c r="A17" s="31" t="s">
        <v>63</v>
      </c>
      <c r="B17" s="32" t="s">
        <v>64</v>
      </c>
      <c r="C17" s="32" t="s">
        <v>119</v>
      </c>
      <c r="D17" s="33" t="n">
        <v>235.04</v>
      </c>
      <c r="E17" s="31" t="n">
        <v>0</v>
      </c>
      <c r="F17" s="31" t="s">
        <v>61</v>
      </c>
      <c r="G17" s="31" t="s">
        <v>103</v>
      </c>
    </row>
    <row r="18" customFormat="false" ht="15.75" hidden="false" customHeight="true" outlineLevel="0" collapsed="false">
      <c r="A18" s="34" t="s">
        <v>63</v>
      </c>
      <c r="B18" s="35" t="s">
        <v>64</v>
      </c>
      <c r="C18" s="35" t="s">
        <v>120</v>
      </c>
      <c r="D18" s="36" t="n">
        <v>231.2</v>
      </c>
      <c r="E18" s="34" t="n">
        <v>1</v>
      </c>
      <c r="F18" s="37" t="n">
        <v>231.2</v>
      </c>
      <c r="G18" s="34" t="s">
        <v>116</v>
      </c>
    </row>
    <row r="19" customFormat="false" ht="15.75" hidden="false" customHeight="true" outlineLevel="0" collapsed="false">
      <c r="A19" s="31" t="s">
        <v>67</v>
      </c>
      <c r="B19" s="32" t="s">
        <v>68</v>
      </c>
      <c r="C19" s="32" t="s">
        <v>121</v>
      </c>
      <c r="D19" s="33" t="n">
        <v>411910.21</v>
      </c>
      <c r="E19" s="31" t="n">
        <v>4008</v>
      </c>
      <c r="F19" s="39" t="n">
        <v>102.77</v>
      </c>
      <c r="G19" s="31" t="s">
        <v>112</v>
      </c>
    </row>
    <row r="20" customFormat="false" ht="15.75" hidden="false" customHeight="true" outlineLevel="0" collapsed="false">
      <c r="A20" s="34" t="s">
        <v>67</v>
      </c>
      <c r="B20" s="35" t="s">
        <v>68</v>
      </c>
      <c r="C20" s="35" t="s">
        <v>122</v>
      </c>
      <c r="D20" s="36" t="n">
        <v>330086.88</v>
      </c>
      <c r="E20" s="34" t="n">
        <v>3489</v>
      </c>
      <c r="F20" s="39" t="n">
        <v>94.61</v>
      </c>
      <c r="G20" s="34" t="s">
        <v>112</v>
      </c>
    </row>
    <row r="21" customFormat="false" ht="15.75" hidden="false" customHeight="true" outlineLevel="0" collapsed="false">
      <c r="A21" s="31" t="s">
        <v>67</v>
      </c>
      <c r="B21" s="32" t="s">
        <v>68</v>
      </c>
      <c r="C21" s="32" t="s">
        <v>123</v>
      </c>
      <c r="D21" s="33" t="n">
        <v>239094.47</v>
      </c>
      <c r="E21" s="31" t="n">
        <v>2284</v>
      </c>
      <c r="F21" s="39" t="n">
        <v>104.68</v>
      </c>
      <c r="G21" s="31" t="s">
        <v>112</v>
      </c>
    </row>
    <row r="22" customFormat="false" ht="15.75" hidden="false" customHeight="true" outlineLevel="0" collapsed="false">
      <c r="A22" s="34" t="s">
        <v>67</v>
      </c>
      <c r="B22" s="35" t="s">
        <v>68</v>
      </c>
      <c r="C22" s="35" t="s">
        <v>124</v>
      </c>
      <c r="D22" s="36" t="n">
        <v>130661.98</v>
      </c>
      <c r="E22" s="34" t="n">
        <v>1347</v>
      </c>
      <c r="F22" s="39" t="n">
        <v>97</v>
      </c>
      <c r="G22" s="34" t="s">
        <v>112</v>
      </c>
    </row>
    <row r="23" customFormat="false" ht="15.75" hidden="false" customHeight="true" outlineLevel="0" collapsed="false">
      <c r="A23" s="31" t="s">
        <v>67</v>
      </c>
      <c r="B23" s="32" t="s">
        <v>68</v>
      </c>
      <c r="C23" s="32" t="s">
        <v>125</v>
      </c>
      <c r="D23" s="33" t="n">
        <v>112658.82</v>
      </c>
      <c r="E23" s="31" t="n">
        <v>1321</v>
      </c>
      <c r="F23" s="39" t="n">
        <v>85.28</v>
      </c>
      <c r="G23" s="31" t="s">
        <v>112</v>
      </c>
    </row>
    <row r="24" customFormat="false" ht="15.75" hidden="false" customHeight="true" outlineLevel="0" collapsed="false">
      <c r="A24" s="34" t="s">
        <v>67</v>
      </c>
      <c r="B24" s="35" t="s">
        <v>68</v>
      </c>
      <c r="C24" s="35" t="s">
        <v>126</v>
      </c>
      <c r="D24" s="36" t="n">
        <v>101277.62</v>
      </c>
      <c r="E24" s="34" t="n">
        <v>1057</v>
      </c>
      <c r="F24" s="39" t="n">
        <v>95.82</v>
      </c>
      <c r="G24" s="34" t="s">
        <v>112</v>
      </c>
    </row>
    <row r="25" customFormat="false" ht="15.75" hidden="false" customHeight="true" outlineLevel="0" collapsed="false">
      <c r="A25" s="31" t="s">
        <v>67</v>
      </c>
      <c r="B25" s="32" t="s">
        <v>68</v>
      </c>
      <c r="C25" s="32" t="s">
        <v>127</v>
      </c>
      <c r="D25" s="33" t="n">
        <v>76020.22</v>
      </c>
      <c r="E25" s="31" t="n">
        <v>428</v>
      </c>
      <c r="F25" s="37" t="n">
        <v>177.62</v>
      </c>
      <c r="G25" s="31" t="s">
        <v>128</v>
      </c>
    </row>
    <row r="26" customFormat="false" ht="15.75" hidden="false" customHeight="true" outlineLevel="0" collapsed="false">
      <c r="A26" s="34" t="s">
        <v>67</v>
      </c>
      <c r="B26" s="35" t="s">
        <v>68</v>
      </c>
      <c r="C26" s="35" t="s">
        <v>129</v>
      </c>
      <c r="D26" s="36" t="n">
        <v>70701.67</v>
      </c>
      <c r="E26" s="34" t="n">
        <v>594</v>
      </c>
      <c r="F26" s="39" t="n">
        <v>119.02</v>
      </c>
      <c r="G26" s="34" t="s">
        <v>112</v>
      </c>
    </row>
    <row r="27" customFormat="false" ht="15.75" hidden="false" customHeight="true" outlineLevel="0" collapsed="false">
      <c r="A27" s="31" t="s">
        <v>67</v>
      </c>
      <c r="B27" s="32" t="s">
        <v>68</v>
      </c>
      <c r="C27" s="32" t="s">
        <v>130</v>
      </c>
      <c r="D27" s="33" t="n">
        <v>58354.7</v>
      </c>
      <c r="E27" s="31" t="n">
        <v>433</v>
      </c>
      <c r="F27" s="37" t="n">
        <v>134.77</v>
      </c>
      <c r="G27" s="31" t="s">
        <v>128</v>
      </c>
    </row>
    <row r="28" customFormat="false" ht="15.75" hidden="false" customHeight="true" outlineLevel="0" collapsed="false">
      <c r="A28" s="34" t="s">
        <v>67</v>
      </c>
      <c r="B28" s="35" t="s">
        <v>68</v>
      </c>
      <c r="C28" s="35" t="s">
        <v>131</v>
      </c>
      <c r="D28" s="36" t="n">
        <v>56032.17</v>
      </c>
      <c r="E28" s="34" t="n">
        <v>480</v>
      </c>
      <c r="F28" s="39" t="n">
        <v>116.73</v>
      </c>
      <c r="G28" s="34" t="s">
        <v>112</v>
      </c>
    </row>
    <row r="29" customFormat="false" ht="15.75" hidden="false" customHeight="true" outlineLevel="0" collapsed="false">
      <c r="A29" s="31" t="s">
        <v>67</v>
      </c>
      <c r="B29" s="32" t="s">
        <v>68</v>
      </c>
      <c r="C29" s="32" t="s">
        <v>132</v>
      </c>
      <c r="D29" s="33" t="n">
        <v>43018.79</v>
      </c>
      <c r="E29" s="31" t="n">
        <v>535</v>
      </c>
      <c r="F29" s="39" t="n">
        <v>80.41</v>
      </c>
      <c r="G29" s="31" t="s">
        <v>112</v>
      </c>
    </row>
    <row r="30" customFormat="false" ht="15.75" hidden="false" customHeight="true" outlineLevel="0" collapsed="false">
      <c r="A30" s="34" t="s">
        <v>67</v>
      </c>
      <c r="B30" s="35" t="s">
        <v>68</v>
      </c>
      <c r="C30" s="35" t="s">
        <v>133</v>
      </c>
      <c r="D30" s="36" t="n">
        <v>41673.18</v>
      </c>
      <c r="E30" s="34" t="n">
        <v>466</v>
      </c>
      <c r="F30" s="39" t="n">
        <v>89.43</v>
      </c>
      <c r="G30" s="34" t="s">
        <v>112</v>
      </c>
    </row>
    <row r="31" customFormat="false" ht="15.75" hidden="false" customHeight="true" outlineLevel="0" collapsed="false">
      <c r="A31" s="31" t="s">
        <v>67</v>
      </c>
      <c r="B31" s="32" t="s">
        <v>68</v>
      </c>
      <c r="C31" s="32" t="s">
        <v>134</v>
      </c>
      <c r="D31" s="33" t="n">
        <v>41443.73</v>
      </c>
      <c r="E31" s="31" t="n">
        <v>330</v>
      </c>
      <c r="F31" s="39" t="n">
        <v>125.59</v>
      </c>
      <c r="G31" s="31" t="s">
        <v>112</v>
      </c>
    </row>
    <row r="32" customFormat="false" ht="15.75" hidden="false" customHeight="true" outlineLevel="0" collapsed="false">
      <c r="A32" s="34" t="s">
        <v>67</v>
      </c>
      <c r="B32" s="35" t="s">
        <v>68</v>
      </c>
      <c r="C32" s="35" t="s">
        <v>135</v>
      </c>
      <c r="D32" s="36" t="n">
        <v>39723.04</v>
      </c>
      <c r="E32" s="34" t="n">
        <v>334</v>
      </c>
      <c r="F32" s="39" t="n">
        <v>118.93</v>
      </c>
      <c r="G32" s="34" t="s">
        <v>112</v>
      </c>
    </row>
    <row r="33" customFormat="false" ht="15.75" hidden="false" customHeight="true" outlineLevel="0" collapsed="false">
      <c r="A33" s="31" t="s">
        <v>67</v>
      </c>
      <c r="B33" s="32" t="s">
        <v>68</v>
      </c>
      <c r="C33" s="32" t="s">
        <v>136</v>
      </c>
      <c r="D33" s="33" t="n">
        <v>37238.94</v>
      </c>
      <c r="E33" s="31" t="n">
        <v>285</v>
      </c>
      <c r="F33" s="37" t="n">
        <v>130.66</v>
      </c>
      <c r="G33" s="31" t="s">
        <v>128</v>
      </c>
    </row>
    <row r="34" customFormat="false" ht="15.75" hidden="false" customHeight="true" outlineLevel="0" collapsed="false">
      <c r="A34" s="34" t="s">
        <v>67</v>
      </c>
      <c r="B34" s="35" t="s">
        <v>68</v>
      </c>
      <c r="C34" s="35" t="s">
        <v>137</v>
      </c>
      <c r="D34" s="36" t="n">
        <v>30596.16</v>
      </c>
      <c r="E34" s="34" t="n">
        <v>246</v>
      </c>
      <c r="F34" s="39" t="n">
        <v>124.37</v>
      </c>
      <c r="G34" s="34" t="s">
        <v>112</v>
      </c>
    </row>
    <row r="35" customFormat="false" ht="15.75" hidden="false" customHeight="true" outlineLevel="0" collapsed="false">
      <c r="A35" s="31" t="s">
        <v>67</v>
      </c>
      <c r="B35" s="32" t="s">
        <v>68</v>
      </c>
      <c r="C35" s="32" t="s">
        <v>138</v>
      </c>
      <c r="D35" s="33" t="n">
        <v>30514.14</v>
      </c>
      <c r="E35" s="31" t="n">
        <v>244</v>
      </c>
      <c r="F35" s="39" t="n">
        <v>125.06</v>
      </c>
      <c r="G35" s="31" t="s">
        <v>112</v>
      </c>
    </row>
    <row r="36" customFormat="false" ht="15.75" hidden="false" customHeight="true" outlineLevel="0" collapsed="false">
      <c r="A36" s="34" t="s">
        <v>67</v>
      </c>
      <c r="B36" s="35" t="s">
        <v>68</v>
      </c>
      <c r="C36" s="35" t="s">
        <v>139</v>
      </c>
      <c r="D36" s="36" t="n">
        <v>29391.44</v>
      </c>
      <c r="E36" s="34" t="n">
        <v>171</v>
      </c>
      <c r="F36" s="37" t="n">
        <v>171.88</v>
      </c>
      <c r="G36" s="34" t="s">
        <v>128</v>
      </c>
    </row>
    <row r="37" customFormat="false" ht="15.75" hidden="false" customHeight="true" outlineLevel="0" collapsed="false">
      <c r="A37" s="31" t="s">
        <v>67</v>
      </c>
      <c r="B37" s="32" t="s">
        <v>68</v>
      </c>
      <c r="C37" s="32" t="s">
        <v>140</v>
      </c>
      <c r="D37" s="33" t="n">
        <v>27649.68</v>
      </c>
      <c r="E37" s="31" t="n">
        <v>229</v>
      </c>
      <c r="F37" s="39" t="n">
        <v>120.74</v>
      </c>
      <c r="G37" s="31" t="s">
        <v>112</v>
      </c>
    </row>
    <row r="38" customFormat="false" ht="15.75" hidden="false" customHeight="true" outlineLevel="0" collapsed="false">
      <c r="A38" s="34" t="s">
        <v>67</v>
      </c>
      <c r="B38" s="35" t="s">
        <v>68</v>
      </c>
      <c r="C38" s="35" t="s">
        <v>141</v>
      </c>
      <c r="D38" s="36" t="n">
        <v>26627.38</v>
      </c>
      <c r="E38" s="34" t="n">
        <v>186</v>
      </c>
      <c r="F38" s="37" t="n">
        <v>143.16</v>
      </c>
      <c r="G38" s="34" t="s">
        <v>128</v>
      </c>
    </row>
    <row r="39" customFormat="false" ht="15.75" hidden="false" customHeight="true" outlineLevel="0" collapsed="false">
      <c r="A39" s="31" t="s">
        <v>67</v>
      </c>
      <c r="B39" s="32" t="s">
        <v>68</v>
      </c>
      <c r="C39" s="32" t="s">
        <v>142</v>
      </c>
      <c r="D39" s="33" t="n">
        <v>25274</v>
      </c>
      <c r="E39" s="31" t="n">
        <v>142</v>
      </c>
      <c r="F39" s="37" t="n">
        <v>177.99</v>
      </c>
      <c r="G39" s="31" t="s">
        <v>128</v>
      </c>
    </row>
    <row r="40" customFormat="false" ht="15.75" hidden="false" customHeight="true" outlineLevel="0" collapsed="false">
      <c r="A40" s="34" t="s">
        <v>67</v>
      </c>
      <c r="B40" s="35" t="s">
        <v>68</v>
      </c>
      <c r="C40" s="35" t="s">
        <v>143</v>
      </c>
      <c r="D40" s="36" t="n">
        <v>14861.54</v>
      </c>
      <c r="E40" s="34" t="n">
        <v>107</v>
      </c>
      <c r="F40" s="37" t="n">
        <v>138.89</v>
      </c>
      <c r="G40" s="34" t="s">
        <v>128</v>
      </c>
    </row>
    <row r="41" customFormat="false" ht="15.75" hidden="false" customHeight="true" outlineLevel="0" collapsed="false">
      <c r="A41" s="31" t="s">
        <v>67</v>
      </c>
      <c r="B41" s="32" t="s">
        <v>68</v>
      </c>
      <c r="C41" s="32" t="s">
        <v>144</v>
      </c>
      <c r="D41" s="33" t="n">
        <v>12672.05</v>
      </c>
      <c r="E41" s="31" t="n">
        <v>106</v>
      </c>
      <c r="F41" s="39" t="n">
        <v>119.55</v>
      </c>
      <c r="G41" s="31" t="s">
        <v>112</v>
      </c>
    </row>
    <row r="42" customFormat="false" ht="15.75" hidden="false" customHeight="true" outlineLevel="0" collapsed="false">
      <c r="A42" s="34" t="s">
        <v>67</v>
      </c>
      <c r="B42" s="35" t="s">
        <v>68</v>
      </c>
      <c r="C42" s="35" t="s">
        <v>145</v>
      </c>
      <c r="D42" s="36" t="n">
        <v>12504.25</v>
      </c>
      <c r="E42" s="34" t="n">
        <v>74</v>
      </c>
      <c r="F42" s="37" t="n">
        <v>168.98</v>
      </c>
      <c r="G42" s="34" t="s">
        <v>128</v>
      </c>
    </row>
    <row r="43" customFormat="false" ht="15.75" hidden="false" customHeight="true" outlineLevel="0" collapsed="false">
      <c r="A43" s="31" t="s">
        <v>67</v>
      </c>
      <c r="B43" s="32" t="s">
        <v>68</v>
      </c>
      <c r="C43" s="32" t="s">
        <v>146</v>
      </c>
      <c r="D43" s="33" t="n">
        <v>11018.98</v>
      </c>
      <c r="E43" s="31" t="n">
        <v>146</v>
      </c>
      <c r="F43" s="38" t="n">
        <v>75.47</v>
      </c>
      <c r="G43" s="31" t="s">
        <v>110</v>
      </c>
    </row>
    <row r="44" customFormat="false" ht="15.75" hidden="false" customHeight="true" outlineLevel="0" collapsed="false">
      <c r="A44" s="34" t="s">
        <v>67</v>
      </c>
      <c r="B44" s="35" t="s">
        <v>68</v>
      </c>
      <c r="C44" s="35" t="s">
        <v>147</v>
      </c>
      <c r="D44" s="36" t="n">
        <v>8763.29</v>
      </c>
      <c r="E44" s="34" t="n">
        <v>68</v>
      </c>
      <c r="F44" s="39" t="n">
        <v>128.87</v>
      </c>
      <c r="G44" s="34" t="s">
        <v>112</v>
      </c>
    </row>
    <row r="45" customFormat="false" ht="15.75" hidden="false" customHeight="true" outlineLevel="0" collapsed="false">
      <c r="A45" s="31" t="s">
        <v>67</v>
      </c>
      <c r="B45" s="32" t="s">
        <v>68</v>
      </c>
      <c r="C45" s="32" t="s">
        <v>148</v>
      </c>
      <c r="D45" s="33" t="n">
        <v>8221.04</v>
      </c>
      <c r="E45" s="31" t="n">
        <v>31</v>
      </c>
      <c r="F45" s="37" t="n">
        <v>265.19</v>
      </c>
      <c r="G45" s="31" t="s">
        <v>116</v>
      </c>
    </row>
    <row r="46" customFormat="false" ht="15.75" hidden="false" customHeight="true" outlineLevel="0" collapsed="false">
      <c r="A46" s="34" t="s">
        <v>67</v>
      </c>
      <c r="B46" s="35" t="s">
        <v>68</v>
      </c>
      <c r="C46" s="35" t="s">
        <v>149</v>
      </c>
      <c r="D46" s="36" t="n">
        <v>7887.07</v>
      </c>
      <c r="E46" s="34" t="n">
        <v>37</v>
      </c>
      <c r="F46" s="37" t="n">
        <v>213.16</v>
      </c>
      <c r="G46" s="34" t="s">
        <v>116</v>
      </c>
    </row>
    <row r="47" customFormat="false" ht="15.75" hidden="false" customHeight="true" outlineLevel="0" collapsed="false">
      <c r="A47" s="31" t="s">
        <v>67</v>
      </c>
      <c r="B47" s="32" t="s">
        <v>68</v>
      </c>
      <c r="C47" s="32" t="s">
        <v>150</v>
      </c>
      <c r="D47" s="33" t="n">
        <v>7870.22</v>
      </c>
      <c r="E47" s="31" t="n">
        <v>60</v>
      </c>
      <c r="F47" s="37" t="n">
        <v>131.17</v>
      </c>
      <c r="G47" s="31" t="s">
        <v>128</v>
      </c>
    </row>
    <row r="48" customFormat="false" ht="15.75" hidden="false" customHeight="true" outlineLevel="0" collapsed="false">
      <c r="A48" s="34" t="s">
        <v>67</v>
      </c>
      <c r="B48" s="35" t="s">
        <v>68</v>
      </c>
      <c r="C48" s="35" t="s">
        <v>151</v>
      </c>
      <c r="D48" s="36" t="n">
        <v>7859.52</v>
      </c>
      <c r="E48" s="34" t="n">
        <v>50</v>
      </c>
      <c r="F48" s="37" t="n">
        <v>157.19</v>
      </c>
      <c r="G48" s="34" t="s">
        <v>128</v>
      </c>
    </row>
    <row r="49" customFormat="false" ht="15.75" hidden="false" customHeight="true" outlineLevel="0" collapsed="false">
      <c r="A49" s="31" t="s">
        <v>67</v>
      </c>
      <c r="B49" s="32" t="s">
        <v>68</v>
      </c>
      <c r="C49" s="32" t="s">
        <v>152</v>
      </c>
      <c r="D49" s="33" t="n">
        <v>6510.51</v>
      </c>
      <c r="E49" s="31" t="n">
        <v>64</v>
      </c>
      <c r="F49" s="39" t="n">
        <v>101.73</v>
      </c>
      <c r="G49" s="31" t="s">
        <v>112</v>
      </c>
    </row>
    <row r="50" customFormat="false" ht="15.75" hidden="false" customHeight="true" outlineLevel="0" collapsed="false">
      <c r="A50" s="34" t="s">
        <v>67</v>
      </c>
      <c r="B50" s="35" t="s">
        <v>68</v>
      </c>
      <c r="C50" s="35" t="s">
        <v>153</v>
      </c>
      <c r="D50" s="36" t="n">
        <v>6095.14</v>
      </c>
      <c r="E50" s="34" t="n">
        <v>68</v>
      </c>
      <c r="F50" s="39" t="n">
        <v>89.63</v>
      </c>
      <c r="G50" s="34" t="s">
        <v>112</v>
      </c>
    </row>
    <row r="51" customFormat="false" ht="15.75" hidden="false" customHeight="true" outlineLevel="0" collapsed="false">
      <c r="A51" s="31" t="s">
        <v>67</v>
      </c>
      <c r="B51" s="32" t="s">
        <v>68</v>
      </c>
      <c r="C51" s="32" t="s">
        <v>154</v>
      </c>
      <c r="D51" s="33" t="n">
        <v>5896.45</v>
      </c>
      <c r="E51" s="31" t="n">
        <v>19</v>
      </c>
      <c r="F51" s="37" t="n">
        <v>310.34</v>
      </c>
      <c r="G51" s="31" t="s">
        <v>116</v>
      </c>
    </row>
    <row r="52" customFormat="false" ht="15.75" hidden="false" customHeight="true" outlineLevel="0" collapsed="false">
      <c r="A52" s="34" t="s">
        <v>67</v>
      </c>
      <c r="B52" s="35" t="s">
        <v>68</v>
      </c>
      <c r="C52" s="35" t="s">
        <v>155</v>
      </c>
      <c r="D52" s="36" t="n">
        <v>4311.72</v>
      </c>
      <c r="E52" s="34" t="n">
        <v>26</v>
      </c>
      <c r="F52" s="37" t="n">
        <v>165.84</v>
      </c>
      <c r="G52" s="34" t="s">
        <v>128</v>
      </c>
    </row>
    <row r="53" customFormat="false" ht="15.75" hidden="false" customHeight="true" outlineLevel="0" collapsed="false">
      <c r="A53" s="31" t="s">
        <v>67</v>
      </c>
      <c r="B53" s="32" t="s">
        <v>68</v>
      </c>
      <c r="C53" s="32" t="s">
        <v>156</v>
      </c>
      <c r="D53" s="33" t="n">
        <v>3689.85</v>
      </c>
      <c r="E53" s="31" t="n">
        <v>28</v>
      </c>
      <c r="F53" s="37" t="n">
        <v>131.78</v>
      </c>
      <c r="G53" s="31" t="s">
        <v>128</v>
      </c>
    </row>
    <row r="54" customFormat="false" ht="15.75" hidden="false" customHeight="true" outlineLevel="0" collapsed="false">
      <c r="A54" s="34" t="s">
        <v>67</v>
      </c>
      <c r="B54" s="35" t="s">
        <v>68</v>
      </c>
      <c r="C54" s="35" t="s">
        <v>157</v>
      </c>
      <c r="D54" s="36" t="n">
        <v>3207.06</v>
      </c>
      <c r="E54" s="34" t="n">
        <v>24</v>
      </c>
      <c r="F54" s="37" t="n">
        <v>133.63</v>
      </c>
      <c r="G54" s="34" t="s">
        <v>128</v>
      </c>
    </row>
    <row r="55" customFormat="false" ht="15.75" hidden="false" customHeight="true" outlineLevel="0" collapsed="false">
      <c r="A55" s="31" t="s">
        <v>67</v>
      </c>
      <c r="B55" s="32" t="s">
        <v>68</v>
      </c>
      <c r="C55" s="32" t="s">
        <v>158</v>
      </c>
      <c r="D55" s="33" t="n">
        <v>1682.68</v>
      </c>
      <c r="E55" s="31" t="n">
        <v>6</v>
      </c>
      <c r="F55" s="37" t="n">
        <v>280.45</v>
      </c>
      <c r="G55" s="31" t="s">
        <v>116</v>
      </c>
    </row>
    <row r="56" customFormat="false" ht="15.75" hidden="false" customHeight="true" outlineLevel="0" collapsed="false">
      <c r="A56" s="34" t="s">
        <v>67</v>
      </c>
      <c r="B56" s="35" t="s">
        <v>68</v>
      </c>
      <c r="C56" s="35" t="s">
        <v>159</v>
      </c>
      <c r="D56" s="36" t="n">
        <v>728.69</v>
      </c>
      <c r="E56" s="34" t="n">
        <v>2</v>
      </c>
      <c r="F56" s="37" t="n">
        <v>364.35</v>
      </c>
      <c r="G56" s="34" t="s">
        <v>106</v>
      </c>
    </row>
    <row r="57" customFormat="false" ht="15.75" hidden="false" customHeight="true" outlineLevel="0" collapsed="false">
      <c r="A57" s="31" t="s">
        <v>67</v>
      </c>
      <c r="B57" s="32" t="s">
        <v>68</v>
      </c>
      <c r="C57" s="32" t="s">
        <v>160</v>
      </c>
      <c r="D57" s="33" t="n">
        <v>521.49</v>
      </c>
      <c r="E57" s="31" t="n">
        <v>15</v>
      </c>
      <c r="F57" s="38" t="n">
        <v>34.77</v>
      </c>
      <c r="G57" s="31" t="s">
        <v>110</v>
      </c>
    </row>
    <row r="58" customFormat="false" ht="15.75" hidden="false" customHeight="true" outlineLevel="0" collapsed="false">
      <c r="A58" s="34" t="s">
        <v>71</v>
      </c>
      <c r="B58" s="35" t="s">
        <v>72</v>
      </c>
      <c r="C58" s="35" t="s">
        <v>161</v>
      </c>
      <c r="D58" s="36" t="n">
        <v>897416.7</v>
      </c>
      <c r="E58" s="34" t="n">
        <v>5657</v>
      </c>
      <c r="F58" s="37" t="n">
        <v>158.64</v>
      </c>
      <c r="G58" s="34" t="s">
        <v>128</v>
      </c>
    </row>
    <row r="59" customFormat="false" ht="15.75" hidden="false" customHeight="true" outlineLevel="0" collapsed="false">
      <c r="A59" s="31" t="s">
        <v>71</v>
      </c>
      <c r="B59" s="32" t="s">
        <v>72</v>
      </c>
      <c r="C59" s="32" t="s">
        <v>162</v>
      </c>
      <c r="D59" s="33" t="n">
        <v>198779.29</v>
      </c>
      <c r="E59" s="31" t="n">
        <v>1225</v>
      </c>
      <c r="F59" s="37" t="n">
        <v>162.27</v>
      </c>
      <c r="G59" s="31" t="s">
        <v>128</v>
      </c>
    </row>
    <row r="60" customFormat="false" ht="15.75" hidden="false" customHeight="true" outlineLevel="0" collapsed="false">
      <c r="A60" s="34" t="s">
        <v>71</v>
      </c>
      <c r="B60" s="35" t="s">
        <v>72</v>
      </c>
      <c r="C60" s="35" t="s">
        <v>163</v>
      </c>
      <c r="D60" s="36" t="n">
        <v>108687.51</v>
      </c>
      <c r="E60" s="34" t="n">
        <v>1088</v>
      </c>
      <c r="F60" s="39" t="n">
        <v>99.9</v>
      </c>
      <c r="G60" s="34" t="s">
        <v>112</v>
      </c>
    </row>
    <row r="61" customFormat="false" ht="15.75" hidden="false" customHeight="true" outlineLevel="0" collapsed="false">
      <c r="A61" s="31" t="s">
        <v>71</v>
      </c>
      <c r="B61" s="32" t="s">
        <v>72</v>
      </c>
      <c r="C61" s="32" t="s">
        <v>164</v>
      </c>
      <c r="D61" s="33" t="n">
        <v>96807.84</v>
      </c>
      <c r="E61" s="31" t="n">
        <v>812</v>
      </c>
      <c r="F61" s="39" t="n">
        <v>119.22</v>
      </c>
      <c r="G61" s="31" t="s">
        <v>112</v>
      </c>
    </row>
    <row r="62" customFormat="false" ht="15.75" hidden="false" customHeight="true" outlineLevel="0" collapsed="false">
      <c r="A62" s="34" t="s">
        <v>71</v>
      </c>
      <c r="B62" s="35" t="s">
        <v>72</v>
      </c>
      <c r="C62" s="35" t="s">
        <v>165</v>
      </c>
      <c r="D62" s="36" t="n">
        <v>72906.08</v>
      </c>
      <c r="E62" s="34" t="n">
        <v>478</v>
      </c>
      <c r="F62" s="37" t="n">
        <v>152.52</v>
      </c>
      <c r="G62" s="34" t="s">
        <v>128</v>
      </c>
    </row>
    <row r="63" customFormat="false" ht="15.75" hidden="false" customHeight="true" outlineLevel="0" collapsed="false">
      <c r="A63" s="31" t="s">
        <v>71</v>
      </c>
      <c r="B63" s="32" t="s">
        <v>72</v>
      </c>
      <c r="C63" s="32" t="s">
        <v>166</v>
      </c>
      <c r="D63" s="33" t="n">
        <v>68466.31</v>
      </c>
      <c r="E63" s="31" t="n">
        <v>454</v>
      </c>
      <c r="F63" s="37" t="n">
        <v>150.81</v>
      </c>
      <c r="G63" s="31" t="s">
        <v>128</v>
      </c>
    </row>
    <row r="64" customFormat="false" ht="15.75" hidden="false" customHeight="true" outlineLevel="0" collapsed="false">
      <c r="A64" s="34" t="s">
        <v>71</v>
      </c>
      <c r="B64" s="35" t="s">
        <v>72</v>
      </c>
      <c r="C64" s="35" t="s">
        <v>167</v>
      </c>
      <c r="D64" s="36" t="n">
        <v>57968.9</v>
      </c>
      <c r="E64" s="34" t="n">
        <v>367</v>
      </c>
      <c r="F64" s="37" t="n">
        <v>157.95</v>
      </c>
      <c r="G64" s="34" t="s">
        <v>128</v>
      </c>
    </row>
    <row r="65" customFormat="false" ht="15.75" hidden="false" customHeight="true" outlineLevel="0" collapsed="false">
      <c r="A65" s="31" t="s">
        <v>71</v>
      </c>
      <c r="B65" s="32" t="s">
        <v>72</v>
      </c>
      <c r="C65" s="32" t="s">
        <v>168</v>
      </c>
      <c r="D65" s="33" t="n">
        <v>56224.72</v>
      </c>
      <c r="E65" s="31" t="n">
        <v>363</v>
      </c>
      <c r="F65" s="37" t="n">
        <v>154.89</v>
      </c>
      <c r="G65" s="31" t="s">
        <v>128</v>
      </c>
    </row>
    <row r="66" customFormat="false" ht="15.75" hidden="false" customHeight="true" outlineLevel="0" collapsed="false">
      <c r="A66" s="34" t="s">
        <v>71</v>
      </c>
      <c r="B66" s="35" t="s">
        <v>72</v>
      </c>
      <c r="C66" s="35" t="s">
        <v>169</v>
      </c>
      <c r="D66" s="36" t="n">
        <v>55078.26</v>
      </c>
      <c r="E66" s="34" t="n">
        <v>348</v>
      </c>
      <c r="F66" s="37" t="n">
        <v>158.27</v>
      </c>
      <c r="G66" s="34" t="s">
        <v>128</v>
      </c>
    </row>
    <row r="67" customFormat="false" ht="15.75" hidden="false" customHeight="true" outlineLevel="0" collapsed="false">
      <c r="A67" s="31" t="s">
        <v>71</v>
      </c>
      <c r="B67" s="32" t="s">
        <v>72</v>
      </c>
      <c r="C67" s="32" t="s">
        <v>170</v>
      </c>
      <c r="D67" s="33" t="n">
        <v>52464.09</v>
      </c>
      <c r="E67" s="31" t="n">
        <v>701</v>
      </c>
      <c r="F67" s="38" t="n">
        <v>74.84</v>
      </c>
      <c r="G67" s="31" t="s">
        <v>110</v>
      </c>
    </row>
    <row r="68" customFormat="false" ht="15.75" hidden="false" customHeight="true" outlineLevel="0" collapsed="false">
      <c r="A68" s="34" t="s">
        <v>71</v>
      </c>
      <c r="B68" s="35" t="s">
        <v>72</v>
      </c>
      <c r="C68" s="35" t="s">
        <v>171</v>
      </c>
      <c r="D68" s="36" t="n">
        <v>51417.49</v>
      </c>
      <c r="E68" s="34" t="n">
        <v>340</v>
      </c>
      <c r="F68" s="37" t="n">
        <v>151.23</v>
      </c>
      <c r="G68" s="34" t="s">
        <v>128</v>
      </c>
    </row>
    <row r="69" customFormat="false" ht="15.75" hidden="false" customHeight="true" outlineLevel="0" collapsed="false">
      <c r="A69" s="31" t="s">
        <v>71</v>
      </c>
      <c r="B69" s="32" t="s">
        <v>72</v>
      </c>
      <c r="C69" s="32" t="s">
        <v>172</v>
      </c>
      <c r="D69" s="33" t="n">
        <v>49038.82</v>
      </c>
      <c r="E69" s="31" t="n">
        <v>318</v>
      </c>
      <c r="F69" s="37" t="n">
        <v>154.21</v>
      </c>
      <c r="G69" s="31" t="s">
        <v>128</v>
      </c>
    </row>
    <row r="70" customFormat="false" ht="15.75" hidden="false" customHeight="true" outlineLevel="0" collapsed="false">
      <c r="A70" s="34" t="s">
        <v>71</v>
      </c>
      <c r="B70" s="35" t="s">
        <v>72</v>
      </c>
      <c r="C70" s="35" t="s">
        <v>173</v>
      </c>
      <c r="D70" s="36" t="n">
        <v>36881.31</v>
      </c>
      <c r="E70" s="34" t="n">
        <v>211</v>
      </c>
      <c r="F70" s="37" t="n">
        <v>174.79</v>
      </c>
      <c r="G70" s="34" t="s">
        <v>128</v>
      </c>
    </row>
    <row r="71" customFormat="false" ht="15.75" hidden="false" customHeight="true" outlineLevel="0" collapsed="false">
      <c r="A71" s="31" t="s">
        <v>71</v>
      </c>
      <c r="B71" s="32" t="s">
        <v>72</v>
      </c>
      <c r="C71" s="32" t="s">
        <v>174</v>
      </c>
      <c r="D71" s="33" t="n">
        <v>36650.03</v>
      </c>
      <c r="E71" s="31" t="n">
        <v>233</v>
      </c>
      <c r="F71" s="37" t="n">
        <v>157.3</v>
      </c>
      <c r="G71" s="31" t="s">
        <v>128</v>
      </c>
    </row>
    <row r="72" customFormat="false" ht="15.75" hidden="false" customHeight="true" outlineLevel="0" collapsed="false">
      <c r="A72" s="34" t="s">
        <v>71</v>
      </c>
      <c r="B72" s="35" t="s">
        <v>72</v>
      </c>
      <c r="C72" s="35" t="s">
        <v>175</v>
      </c>
      <c r="D72" s="36" t="n">
        <v>28298.8</v>
      </c>
      <c r="E72" s="34" t="n">
        <v>153</v>
      </c>
      <c r="F72" s="37" t="n">
        <v>184.96</v>
      </c>
      <c r="G72" s="34" t="s">
        <v>128</v>
      </c>
    </row>
    <row r="73" customFormat="false" ht="15.75" hidden="false" customHeight="true" outlineLevel="0" collapsed="false">
      <c r="A73" s="31" t="s">
        <v>71</v>
      </c>
      <c r="B73" s="32" t="s">
        <v>72</v>
      </c>
      <c r="C73" s="32" t="s">
        <v>176</v>
      </c>
      <c r="D73" s="33" t="n">
        <v>20922.19</v>
      </c>
      <c r="E73" s="31" t="n">
        <v>93</v>
      </c>
      <c r="F73" s="37" t="n">
        <v>224.97</v>
      </c>
      <c r="G73" s="31" t="s">
        <v>116</v>
      </c>
    </row>
    <row r="74" customFormat="false" ht="15.75" hidden="false" customHeight="true" outlineLevel="0" collapsed="false">
      <c r="A74" s="34" t="s">
        <v>71</v>
      </c>
      <c r="B74" s="35" t="s">
        <v>72</v>
      </c>
      <c r="C74" s="35" t="s">
        <v>177</v>
      </c>
      <c r="D74" s="36" t="n">
        <v>19160.67</v>
      </c>
      <c r="E74" s="34" t="n">
        <v>134</v>
      </c>
      <c r="F74" s="37" t="n">
        <v>142.99</v>
      </c>
      <c r="G74" s="34" t="s">
        <v>128</v>
      </c>
    </row>
    <row r="75" customFormat="false" ht="15.75" hidden="false" customHeight="true" outlineLevel="0" collapsed="false">
      <c r="A75" s="31" t="s">
        <v>71</v>
      </c>
      <c r="B75" s="32" t="s">
        <v>72</v>
      </c>
      <c r="C75" s="32" t="s">
        <v>178</v>
      </c>
      <c r="D75" s="33" t="n">
        <v>18773.37</v>
      </c>
      <c r="E75" s="31" t="n">
        <v>83</v>
      </c>
      <c r="F75" s="37" t="n">
        <v>226.19</v>
      </c>
      <c r="G75" s="31" t="s">
        <v>116</v>
      </c>
    </row>
    <row r="76" customFormat="false" ht="15.75" hidden="false" customHeight="true" outlineLevel="0" collapsed="false">
      <c r="A76" s="34" t="s">
        <v>71</v>
      </c>
      <c r="B76" s="35" t="s">
        <v>72</v>
      </c>
      <c r="C76" s="35" t="s">
        <v>179</v>
      </c>
      <c r="D76" s="36" t="n">
        <v>17589.57</v>
      </c>
      <c r="E76" s="34" t="n">
        <v>92</v>
      </c>
      <c r="F76" s="37" t="n">
        <v>191.19</v>
      </c>
      <c r="G76" s="34" t="s">
        <v>128</v>
      </c>
    </row>
    <row r="77" customFormat="false" ht="15.75" hidden="false" customHeight="true" outlineLevel="0" collapsed="false">
      <c r="A77" s="31" t="s">
        <v>71</v>
      </c>
      <c r="B77" s="32" t="s">
        <v>72</v>
      </c>
      <c r="C77" s="32" t="s">
        <v>180</v>
      </c>
      <c r="D77" s="33" t="n">
        <v>15156.3</v>
      </c>
      <c r="E77" s="31" t="n">
        <v>94</v>
      </c>
      <c r="F77" s="37" t="n">
        <v>161.24</v>
      </c>
      <c r="G77" s="31" t="s">
        <v>128</v>
      </c>
    </row>
    <row r="78" customFormat="false" ht="15.75" hidden="false" customHeight="true" outlineLevel="0" collapsed="false">
      <c r="A78" s="34" t="s">
        <v>71</v>
      </c>
      <c r="B78" s="35" t="s">
        <v>72</v>
      </c>
      <c r="C78" s="35" t="s">
        <v>181</v>
      </c>
      <c r="D78" s="36" t="n">
        <v>14833.44</v>
      </c>
      <c r="E78" s="34" t="n">
        <v>76</v>
      </c>
      <c r="F78" s="37" t="n">
        <v>195.18</v>
      </c>
      <c r="G78" s="34" t="s">
        <v>128</v>
      </c>
    </row>
    <row r="79" customFormat="false" ht="15.75" hidden="false" customHeight="true" outlineLevel="0" collapsed="false">
      <c r="A79" s="31" t="s">
        <v>71</v>
      </c>
      <c r="B79" s="32" t="s">
        <v>72</v>
      </c>
      <c r="C79" s="32" t="s">
        <v>182</v>
      </c>
      <c r="D79" s="33" t="n">
        <v>13313.26</v>
      </c>
      <c r="E79" s="31" t="n">
        <v>60</v>
      </c>
      <c r="F79" s="37" t="n">
        <v>221.89</v>
      </c>
      <c r="G79" s="31" t="s">
        <v>116</v>
      </c>
    </row>
    <row r="80" customFormat="false" ht="15.75" hidden="false" customHeight="true" outlineLevel="0" collapsed="false">
      <c r="A80" s="34" t="s">
        <v>71</v>
      </c>
      <c r="B80" s="35" t="s">
        <v>72</v>
      </c>
      <c r="C80" s="35" t="s">
        <v>183</v>
      </c>
      <c r="D80" s="36" t="n">
        <v>12539.52</v>
      </c>
      <c r="E80" s="34" t="n">
        <v>106</v>
      </c>
      <c r="F80" s="39" t="n">
        <v>118.3</v>
      </c>
      <c r="G80" s="34" t="s">
        <v>112</v>
      </c>
    </row>
    <row r="81" customFormat="false" ht="15.75" hidden="false" customHeight="true" outlineLevel="0" collapsed="false">
      <c r="A81" s="31" t="s">
        <v>71</v>
      </c>
      <c r="B81" s="32" t="s">
        <v>72</v>
      </c>
      <c r="C81" s="32" t="s">
        <v>184</v>
      </c>
      <c r="D81" s="33" t="n">
        <v>12195.42</v>
      </c>
      <c r="E81" s="31" t="n">
        <v>73</v>
      </c>
      <c r="F81" s="37" t="n">
        <v>167.06</v>
      </c>
      <c r="G81" s="31" t="s">
        <v>128</v>
      </c>
    </row>
    <row r="82" customFormat="false" ht="15.75" hidden="false" customHeight="true" outlineLevel="0" collapsed="false">
      <c r="A82" s="34" t="s">
        <v>71</v>
      </c>
      <c r="B82" s="35" t="s">
        <v>72</v>
      </c>
      <c r="C82" s="35" t="s">
        <v>185</v>
      </c>
      <c r="D82" s="36" t="n">
        <v>8835.54</v>
      </c>
      <c r="E82" s="34" t="n">
        <v>35</v>
      </c>
      <c r="F82" s="37" t="n">
        <v>252.44</v>
      </c>
      <c r="G82" s="34" t="s">
        <v>116</v>
      </c>
    </row>
    <row r="83" customFormat="false" ht="15.75" hidden="false" customHeight="true" outlineLevel="0" collapsed="false">
      <c r="A83" s="31" t="s">
        <v>71</v>
      </c>
      <c r="B83" s="32" t="s">
        <v>72</v>
      </c>
      <c r="C83" s="32" t="s">
        <v>186</v>
      </c>
      <c r="D83" s="33" t="n">
        <v>8566.7</v>
      </c>
      <c r="E83" s="31" t="n">
        <v>34</v>
      </c>
      <c r="F83" s="37" t="n">
        <v>251.96</v>
      </c>
      <c r="G83" s="31" t="s">
        <v>116</v>
      </c>
    </row>
    <row r="84" customFormat="false" ht="15.75" hidden="false" customHeight="true" outlineLevel="0" collapsed="false">
      <c r="A84" s="34" t="s">
        <v>71</v>
      </c>
      <c r="B84" s="35" t="s">
        <v>72</v>
      </c>
      <c r="C84" s="35" t="s">
        <v>187</v>
      </c>
      <c r="D84" s="36" t="n">
        <v>8544.11</v>
      </c>
      <c r="E84" s="34" t="n">
        <v>41</v>
      </c>
      <c r="F84" s="37" t="n">
        <v>208.39</v>
      </c>
      <c r="G84" s="34" t="s">
        <v>116</v>
      </c>
    </row>
    <row r="85" customFormat="false" ht="15.75" hidden="false" customHeight="true" outlineLevel="0" collapsed="false">
      <c r="A85" s="31" t="s">
        <v>71</v>
      </c>
      <c r="B85" s="32" t="s">
        <v>72</v>
      </c>
      <c r="C85" s="32" t="s">
        <v>188</v>
      </c>
      <c r="D85" s="33" t="n">
        <v>7547.84</v>
      </c>
      <c r="E85" s="31" t="n">
        <v>44</v>
      </c>
      <c r="F85" s="37" t="n">
        <v>171.54</v>
      </c>
      <c r="G85" s="31" t="s">
        <v>128</v>
      </c>
    </row>
    <row r="86" customFormat="false" ht="15.75" hidden="false" customHeight="true" outlineLevel="0" collapsed="false">
      <c r="A86" s="34" t="s">
        <v>71</v>
      </c>
      <c r="B86" s="35" t="s">
        <v>72</v>
      </c>
      <c r="C86" s="35" t="s">
        <v>189</v>
      </c>
      <c r="D86" s="36" t="n">
        <v>6942.09</v>
      </c>
      <c r="E86" s="34" t="n">
        <v>40</v>
      </c>
      <c r="F86" s="37" t="n">
        <v>173.55</v>
      </c>
      <c r="G86" s="34" t="s">
        <v>128</v>
      </c>
    </row>
    <row r="87" customFormat="false" ht="15.75" hidden="false" customHeight="true" outlineLevel="0" collapsed="false">
      <c r="A87" s="31" t="s">
        <v>71</v>
      </c>
      <c r="B87" s="32" t="s">
        <v>72</v>
      </c>
      <c r="C87" s="32" t="s">
        <v>190</v>
      </c>
      <c r="D87" s="33" t="n">
        <v>5976.58</v>
      </c>
      <c r="E87" s="31" t="n">
        <v>34</v>
      </c>
      <c r="F87" s="37" t="n">
        <v>175.78</v>
      </c>
      <c r="G87" s="31" t="s">
        <v>128</v>
      </c>
    </row>
    <row r="88" customFormat="false" ht="15.75" hidden="false" customHeight="true" outlineLevel="0" collapsed="false">
      <c r="A88" s="34" t="s">
        <v>71</v>
      </c>
      <c r="B88" s="35" t="s">
        <v>72</v>
      </c>
      <c r="C88" s="35" t="s">
        <v>191</v>
      </c>
      <c r="D88" s="36" t="n">
        <v>5942.58</v>
      </c>
      <c r="E88" s="34" t="n">
        <v>50</v>
      </c>
      <c r="F88" s="39" t="n">
        <v>118.85</v>
      </c>
      <c r="G88" s="34" t="s">
        <v>112</v>
      </c>
    </row>
    <row r="89" customFormat="false" ht="15.75" hidden="false" customHeight="true" outlineLevel="0" collapsed="false">
      <c r="A89" s="31" t="s">
        <v>71</v>
      </c>
      <c r="B89" s="32" t="s">
        <v>72</v>
      </c>
      <c r="C89" s="32" t="s">
        <v>192</v>
      </c>
      <c r="D89" s="33" t="n">
        <v>5422.54</v>
      </c>
      <c r="E89" s="31" t="n">
        <v>24</v>
      </c>
      <c r="F89" s="37" t="n">
        <v>225.94</v>
      </c>
      <c r="G89" s="31" t="s">
        <v>116</v>
      </c>
    </row>
    <row r="90" customFormat="false" ht="15.75" hidden="false" customHeight="true" outlineLevel="0" collapsed="false">
      <c r="A90" s="34" t="s">
        <v>71</v>
      </c>
      <c r="B90" s="35" t="s">
        <v>72</v>
      </c>
      <c r="C90" s="35" t="s">
        <v>193</v>
      </c>
      <c r="D90" s="36" t="n">
        <v>5167.65</v>
      </c>
      <c r="E90" s="34" t="n">
        <v>37</v>
      </c>
      <c r="F90" s="37" t="n">
        <v>139.67</v>
      </c>
      <c r="G90" s="34" t="s">
        <v>128</v>
      </c>
    </row>
    <row r="91" customFormat="false" ht="15.75" hidden="false" customHeight="true" outlineLevel="0" collapsed="false">
      <c r="A91" s="31" t="s">
        <v>71</v>
      </c>
      <c r="B91" s="32" t="s">
        <v>72</v>
      </c>
      <c r="C91" s="32" t="s">
        <v>194</v>
      </c>
      <c r="D91" s="33" t="n">
        <v>3407.62</v>
      </c>
      <c r="E91" s="31" t="n">
        <v>7</v>
      </c>
      <c r="F91" s="37" t="n">
        <v>486.8</v>
      </c>
      <c r="G91" s="31" t="s">
        <v>106</v>
      </c>
    </row>
    <row r="92" customFormat="false" ht="15.75" hidden="false" customHeight="true" outlineLevel="0" collapsed="false">
      <c r="A92" s="34" t="s">
        <v>71</v>
      </c>
      <c r="B92" s="35" t="s">
        <v>72</v>
      </c>
      <c r="C92" s="35" t="s">
        <v>195</v>
      </c>
      <c r="D92" s="36" t="n">
        <v>3285.41</v>
      </c>
      <c r="E92" s="34" t="n">
        <v>10</v>
      </c>
      <c r="F92" s="37" t="n">
        <v>328.54</v>
      </c>
      <c r="G92" s="34" t="s">
        <v>116</v>
      </c>
    </row>
    <row r="93" customFormat="false" ht="15.75" hidden="false" customHeight="true" outlineLevel="0" collapsed="false">
      <c r="A93" s="31" t="s">
        <v>71</v>
      </c>
      <c r="B93" s="32" t="s">
        <v>72</v>
      </c>
      <c r="C93" s="32" t="s">
        <v>196</v>
      </c>
      <c r="D93" s="33" t="n">
        <v>2620.15</v>
      </c>
      <c r="E93" s="31" t="n">
        <v>17</v>
      </c>
      <c r="F93" s="37" t="n">
        <v>154.13</v>
      </c>
      <c r="G93" s="31" t="s">
        <v>128</v>
      </c>
    </row>
    <row r="94" customFormat="false" ht="15.75" hidden="false" customHeight="true" outlineLevel="0" collapsed="false">
      <c r="A94" s="34" t="s">
        <v>71</v>
      </c>
      <c r="B94" s="35" t="s">
        <v>72</v>
      </c>
      <c r="C94" s="35" t="s">
        <v>197</v>
      </c>
      <c r="D94" s="36" t="n">
        <v>1895.76</v>
      </c>
      <c r="E94" s="34" t="n">
        <v>20</v>
      </c>
      <c r="F94" s="39" t="n">
        <v>94.79</v>
      </c>
      <c r="G94" s="34" t="s">
        <v>112</v>
      </c>
    </row>
    <row r="95" customFormat="false" ht="15.75" hidden="false" customHeight="true" outlineLevel="0" collapsed="false">
      <c r="A95" s="31" t="s">
        <v>71</v>
      </c>
      <c r="B95" s="32" t="s">
        <v>72</v>
      </c>
      <c r="C95" s="32" t="s">
        <v>198</v>
      </c>
      <c r="D95" s="33" t="n">
        <v>1672.08</v>
      </c>
      <c r="E95" s="31" t="n">
        <v>12</v>
      </c>
      <c r="F95" s="37" t="n">
        <v>139.34</v>
      </c>
      <c r="G95" s="31" t="s">
        <v>128</v>
      </c>
    </row>
    <row r="96" customFormat="false" ht="15.75" hidden="false" customHeight="true" outlineLevel="0" collapsed="false">
      <c r="A96" s="34" t="s">
        <v>75</v>
      </c>
      <c r="B96" s="35" t="s">
        <v>199</v>
      </c>
      <c r="C96" s="35" t="s">
        <v>200</v>
      </c>
      <c r="D96" s="36" t="n">
        <v>166547.88</v>
      </c>
      <c r="E96" s="34" t="n">
        <v>1213</v>
      </c>
      <c r="F96" s="37" t="n">
        <v>137.3</v>
      </c>
      <c r="G96" s="34" t="s">
        <v>128</v>
      </c>
    </row>
    <row r="97" customFormat="false" ht="15.75" hidden="false" customHeight="true" outlineLevel="0" collapsed="false">
      <c r="A97" s="31" t="s">
        <v>75</v>
      </c>
      <c r="B97" s="32" t="s">
        <v>199</v>
      </c>
      <c r="C97" s="32" t="s">
        <v>201</v>
      </c>
      <c r="D97" s="33" t="n">
        <v>136847.29</v>
      </c>
      <c r="E97" s="31" t="n">
        <v>820</v>
      </c>
      <c r="F97" s="37" t="n">
        <v>166.89</v>
      </c>
      <c r="G97" s="31" t="s">
        <v>128</v>
      </c>
    </row>
    <row r="98" customFormat="false" ht="15.75" hidden="false" customHeight="true" outlineLevel="0" collapsed="false">
      <c r="A98" s="34" t="s">
        <v>75</v>
      </c>
      <c r="B98" s="35" t="s">
        <v>199</v>
      </c>
      <c r="C98" s="35" t="s">
        <v>202</v>
      </c>
      <c r="D98" s="36" t="n">
        <v>55045.05</v>
      </c>
      <c r="E98" s="34" t="n">
        <v>279</v>
      </c>
      <c r="F98" s="37" t="n">
        <v>197.29</v>
      </c>
      <c r="G98" s="34" t="s">
        <v>128</v>
      </c>
    </row>
    <row r="99" customFormat="false" ht="15.75" hidden="false" customHeight="true" outlineLevel="0" collapsed="false">
      <c r="A99" s="31" t="s">
        <v>75</v>
      </c>
      <c r="B99" s="32" t="s">
        <v>199</v>
      </c>
      <c r="C99" s="32" t="s">
        <v>203</v>
      </c>
      <c r="D99" s="33" t="n">
        <v>51155.97</v>
      </c>
      <c r="E99" s="31" t="n">
        <v>855</v>
      </c>
      <c r="F99" s="38" t="n">
        <v>59.83</v>
      </c>
      <c r="G99" s="31" t="s">
        <v>110</v>
      </c>
    </row>
    <row r="100" customFormat="false" ht="15.75" hidden="false" customHeight="true" outlineLevel="0" collapsed="false">
      <c r="A100" s="34" t="s">
        <v>75</v>
      </c>
      <c r="B100" s="35" t="s">
        <v>199</v>
      </c>
      <c r="C100" s="35" t="s">
        <v>204</v>
      </c>
      <c r="D100" s="36" t="n">
        <v>48826.74</v>
      </c>
      <c r="E100" s="34" t="n">
        <v>303</v>
      </c>
      <c r="F100" s="37" t="n">
        <v>161.14</v>
      </c>
      <c r="G100" s="34" t="s">
        <v>128</v>
      </c>
    </row>
    <row r="101" customFormat="false" ht="15.75" hidden="false" customHeight="true" outlineLevel="0" collapsed="false">
      <c r="A101" s="31" t="s">
        <v>75</v>
      </c>
      <c r="B101" s="32" t="s">
        <v>199</v>
      </c>
      <c r="C101" s="32" t="s">
        <v>205</v>
      </c>
      <c r="D101" s="33" t="n">
        <v>46031.91</v>
      </c>
      <c r="E101" s="31" t="n">
        <v>698</v>
      </c>
      <c r="F101" s="38" t="n">
        <v>65.95</v>
      </c>
      <c r="G101" s="31" t="s">
        <v>110</v>
      </c>
    </row>
    <row r="102" customFormat="false" ht="15.75" hidden="false" customHeight="true" outlineLevel="0" collapsed="false">
      <c r="A102" s="34" t="s">
        <v>75</v>
      </c>
      <c r="B102" s="35" t="s">
        <v>199</v>
      </c>
      <c r="C102" s="35" t="s">
        <v>206</v>
      </c>
      <c r="D102" s="36" t="n">
        <v>41909.93</v>
      </c>
      <c r="E102" s="34" t="n">
        <v>200</v>
      </c>
      <c r="F102" s="37" t="n">
        <v>209.55</v>
      </c>
      <c r="G102" s="34" t="s">
        <v>116</v>
      </c>
    </row>
    <row r="103" customFormat="false" ht="15.75" hidden="false" customHeight="true" outlineLevel="0" collapsed="false">
      <c r="A103" s="31" t="s">
        <v>75</v>
      </c>
      <c r="B103" s="32" t="s">
        <v>199</v>
      </c>
      <c r="C103" s="32" t="s">
        <v>207</v>
      </c>
      <c r="D103" s="33" t="n">
        <v>28390.87</v>
      </c>
      <c r="E103" s="31" t="n">
        <v>92</v>
      </c>
      <c r="F103" s="37" t="n">
        <v>308.6</v>
      </c>
      <c r="G103" s="31" t="s">
        <v>116</v>
      </c>
    </row>
    <row r="104" customFormat="false" ht="15.75" hidden="false" customHeight="true" outlineLevel="0" collapsed="false">
      <c r="A104" s="34" t="s">
        <v>75</v>
      </c>
      <c r="B104" s="35" t="s">
        <v>199</v>
      </c>
      <c r="C104" s="35" t="s">
        <v>208</v>
      </c>
      <c r="D104" s="36" t="n">
        <v>14411.51</v>
      </c>
      <c r="E104" s="34" t="n">
        <v>105</v>
      </c>
      <c r="F104" s="37" t="n">
        <v>137.25</v>
      </c>
      <c r="G104" s="34" t="s">
        <v>128</v>
      </c>
    </row>
    <row r="105" customFormat="false" ht="15.75" hidden="false" customHeight="true" outlineLevel="0" collapsed="false">
      <c r="A105" s="31" t="s">
        <v>75</v>
      </c>
      <c r="B105" s="32" t="s">
        <v>199</v>
      </c>
      <c r="C105" s="32" t="s">
        <v>209</v>
      </c>
      <c r="D105" s="33" t="n">
        <v>10540.11</v>
      </c>
      <c r="E105" s="31" t="n">
        <v>33</v>
      </c>
      <c r="F105" s="37" t="n">
        <v>319.4</v>
      </c>
      <c r="G105" s="31" t="s">
        <v>116</v>
      </c>
    </row>
    <row r="106" customFormat="false" ht="15.75" hidden="false" customHeight="true" outlineLevel="0" collapsed="false">
      <c r="A106" s="34" t="s">
        <v>75</v>
      </c>
      <c r="B106" s="35" t="s">
        <v>199</v>
      </c>
      <c r="C106" s="35" t="s">
        <v>210</v>
      </c>
      <c r="D106" s="36" t="n">
        <v>5666.63</v>
      </c>
      <c r="E106" s="34" t="n">
        <v>25</v>
      </c>
      <c r="F106" s="37" t="n">
        <v>226.67</v>
      </c>
      <c r="G106" s="34" t="s">
        <v>116</v>
      </c>
    </row>
    <row r="107" customFormat="false" ht="15.75" hidden="false" customHeight="true" outlineLevel="0" collapsed="false">
      <c r="A107" s="31" t="s">
        <v>75</v>
      </c>
      <c r="B107" s="32" t="s">
        <v>199</v>
      </c>
      <c r="C107" s="32" t="s">
        <v>211</v>
      </c>
      <c r="D107" s="33" t="n">
        <v>5248.7</v>
      </c>
      <c r="E107" s="31" t="n">
        <v>18</v>
      </c>
      <c r="F107" s="37" t="n">
        <v>291.59</v>
      </c>
      <c r="G107" s="31" t="s">
        <v>116</v>
      </c>
    </row>
    <row r="108" customFormat="false" ht="15.75" hidden="false" customHeight="true" outlineLevel="0" collapsed="false">
      <c r="A108" s="34" t="s">
        <v>75</v>
      </c>
      <c r="B108" s="35" t="s">
        <v>199</v>
      </c>
      <c r="C108" s="35" t="s">
        <v>212</v>
      </c>
      <c r="D108" s="36" t="n">
        <v>4981.85</v>
      </c>
      <c r="E108" s="34" t="n">
        <v>16</v>
      </c>
      <c r="F108" s="37" t="n">
        <v>311.37</v>
      </c>
      <c r="G108" s="34" t="s">
        <v>116</v>
      </c>
    </row>
    <row r="109" customFormat="false" ht="15.75" hidden="false" customHeight="true" outlineLevel="0" collapsed="false">
      <c r="A109" s="31" t="s">
        <v>75</v>
      </c>
      <c r="B109" s="32" t="s">
        <v>199</v>
      </c>
      <c r="C109" s="32" t="s">
        <v>213</v>
      </c>
      <c r="D109" s="33" t="n">
        <v>4916.82</v>
      </c>
      <c r="E109" s="31" t="n">
        <v>14</v>
      </c>
      <c r="F109" s="37" t="n">
        <v>351.2</v>
      </c>
      <c r="G109" s="31" t="s">
        <v>106</v>
      </c>
    </row>
    <row r="110" customFormat="false" ht="15.75" hidden="false" customHeight="true" outlineLevel="0" collapsed="false">
      <c r="A110" s="34" t="s">
        <v>75</v>
      </c>
      <c r="B110" s="35" t="s">
        <v>199</v>
      </c>
      <c r="C110" s="35" t="s">
        <v>214</v>
      </c>
      <c r="D110" s="36" t="n">
        <v>3134.84</v>
      </c>
      <c r="E110" s="34" t="n">
        <v>16</v>
      </c>
      <c r="F110" s="37" t="n">
        <v>195.93</v>
      </c>
      <c r="G110" s="34" t="s">
        <v>128</v>
      </c>
    </row>
    <row r="111" customFormat="false" ht="15.75" hidden="false" customHeight="true" outlineLevel="0" collapsed="false">
      <c r="A111" s="31" t="s">
        <v>75</v>
      </c>
      <c r="B111" s="32" t="s">
        <v>199</v>
      </c>
      <c r="C111" s="32" t="s">
        <v>215</v>
      </c>
      <c r="D111" s="33" t="n">
        <v>2922.06</v>
      </c>
      <c r="E111" s="31" t="n">
        <v>5</v>
      </c>
      <c r="F111" s="37" t="n">
        <v>584.41</v>
      </c>
      <c r="G111" s="31" t="s">
        <v>106</v>
      </c>
    </row>
    <row r="112" customFormat="false" ht="15.75" hidden="false" customHeight="true" outlineLevel="0" collapsed="false">
      <c r="A112" s="34" t="s">
        <v>75</v>
      </c>
      <c r="B112" s="35" t="s">
        <v>199</v>
      </c>
      <c r="C112" s="35" t="s">
        <v>216</v>
      </c>
      <c r="D112" s="36" t="n">
        <v>1605.81</v>
      </c>
      <c r="E112" s="34" t="n">
        <v>3</v>
      </c>
      <c r="F112" s="37" t="n">
        <v>535.27</v>
      </c>
      <c r="G112" s="34" t="s">
        <v>106</v>
      </c>
    </row>
    <row r="113" customFormat="false" ht="15.75" hidden="false" customHeight="true" outlineLevel="0" collapsed="false">
      <c r="A113" s="31" t="s">
        <v>78</v>
      </c>
      <c r="B113" s="32" t="s">
        <v>79</v>
      </c>
      <c r="C113" s="32" t="s">
        <v>217</v>
      </c>
      <c r="D113" s="33" t="n">
        <v>47751.86</v>
      </c>
      <c r="E113" s="31" t="n">
        <v>444</v>
      </c>
      <c r="F113" s="39" t="n">
        <v>107.55</v>
      </c>
      <c r="G113" s="31" t="s">
        <v>112</v>
      </c>
    </row>
    <row r="114" customFormat="false" ht="15.75" hidden="false" customHeight="true" outlineLevel="0" collapsed="false">
      <c r="A114" s="34" t="s">
        <v>78</v>
      </c>
      <c r="B114" s="35" t="s">
        <v>79</v>
      </c>
      <c r="C114" s="35" t="s">
        <v>218</v>
      </c>
      <c r="D114" s="36" t="n">
        <v>34212.86</v>
      </c>
      <c r="E114" s="34" t="n">
        <v>620</v>
      </c>
      <c r="F114" s="38" t="n">
        <v>55.18</v>
      </c>
      <c r="G114" s="34" t="s">
        <v>110</v>
      </c>
    </row>
    <row r="115" customFormat="false" ht="15.75" hidden="false" customHeight="true" outlineLevel="0" collapsed="false">
      <c r="A115" s="31" t="s">
        <v>78</v>
      </c>
      <c r="B115" s="32" t="s">
        <v>79</v>
      </c>
      <c r="C115" s="32" t="s">
        <v>219</v>
      </c>
      <c r="D115" s="33" t="n">
        <v>32339.55</v>
      </c>
      <c r="E115" s="31" t="n">
        <v>189</v>
      </c>
      <c r="F115" s="37" t="n">
        <v>171.11</v>
      </c>
      <c r="G115" s="31" t="s">
        <v>128</v>
      </c>
    </row>
    <row r="116" customFormat="false" ht="15.75" hidden="false" customHeight="true" outlineLevel="0" collapsed="false">
      <c r="A116" s="34" t="s">
        <v>78</v>
      </c>
      <c r="B116" s="35" t="s">
        <v>79</v>
      </c>
      <c r="C116" s="35" t="s">
        <v>220</v>
      </c>
      <c r="D116" s="36" t="n">
        <v>30190.06</v>
      </c>
      <c r="E116" s="34" t="n">
        <v>190</v>
      </c>
      <c r="F116" s="37" t="n">
        <v>158.9</v>
      </c>
      <c r="G116" s="34" t="s">
        <v>128</v>
      </c>
    </row>
    <row r="117" customFormat="false" ht="15.75" hidden="false" customHeight="true" outlineLevel="0" collapsed="false">
      <c r="A117" s="31" t="s">
        <v>78</v>
      </c>
      <c r="B117" s="32" t="s">
        <v>79</v>
      </c>
      <c r="C117" s="32" t="s">
        <v>221</v>
      </c>
      <c r="D117" s="33" t="n">
        <v>26758.52</v>
      </c>
      <c r="E117" s="31" t="n">
        <v>199</v>
      </c>
      <c r="F117" s="37" t="n">
        <v>134.46</v>
      </c>
      <c r="G117" s="31" t="s">
        <v>128</v>
      </c>
    </row>
    <row r="118" customFormat="false" ht="15.75" hidden="false" customHeight="true" outlineLevel="0" collapsed="false">
      <c r="A118" s="34" t="s">
        <v>78</v>
      </c>
      <c r="B118" s="35" t="s">
        <v>79</v>
      </c>
      <c r="C118" s="35" t="s">
        <v>222</v>
      </c>
      <c r="D118" s="36" t="n">
        <v>22579.09</v>
      </c>
      <c r="E118" s="34" t="n">
        <v>166</v>
      </c>
      <c r="F118" s="37" t="n">
        <v>136.02</v>
      </c>
      <c r="G118" s="34" t="s">
        <v>128</v>
      </c>
    </row>
    <row r="119" customFormat="false" ht="15.75" hidden="false" customHeight="true" outlineLevel="0" collapsed="false">
      <c r="A119" s="31" t="s">
        <v>78</v>
      </c>
      <c r="B119" s="32" t="s">
        <v>79</v>
      </c>
      <c r="C119" s="32" t="s">
        <v>223</v>
      </c>
      <c r="D119" s="33" t="n">
        <v>19529.16</v>
      </c>
      <c r="E119" s="31" t="n">
        <v>132</v>
      </c>
      <c r="F119" s="37" t="n">
        <v>147.95</v>
      </c>
      <c r="G119" s="31" t="s">
        <v>128</v>
      </c>
    </row>
    <row r="120" customFormat="false" ht="15.75" hidden="false" customHeight="true" outlineLevel="0" collapsed="false">
      <c r="A120" s="34" t="s">
        <v>78</v>
      </c>
      <c r="B120" s="35" t="s">
        <v>79</v>
      </c>
      <c r="C120" s="35" t="s">
        <v>224</v>
      </c>
      <c r="D120" s="36" t="n">
        <v>19325.21</v>
      </c>
      <c r="E120" s="34" t="n">
        <v>186</v>
      </c>
      <c r="F120" s="39" t="n">
        <v>103.9</v>
      </c>
      <c r="G120" s="34" t="s">
        <v>112</v>
      </c>
    </row>
    <row r="121" customFormat="false" ht="15.75" hidden="false" customHeight="true" outlineLevel="0" collapsed="false">
      <c r="A121" s="31" t="s">
        <v>78</v>
      </c>
      <c r="B121" s="32" t="s">
        <v>79</v>
      </c>
      <c r="C121" s="32" t="s">
        <v>225</v>
      </c>
      <c r="D121" s="33" t="n">
        <v>17571.85</v>
      </c>
      <c r="E121" s="31" t="n">
        <v>103</v>
      </c>
      <c r="F121" s="37" t="n">
        <v>170.6</v>
      </c>
      <c r="G121" s="31" t="s">
        <v>128</v>
      </c>
    </row>
    <row r="122" customFormat="false" ht="15.75" hidden="false" customHeight="true" outlineLevel="0" collapsed="false">
      <c r="A122" s="34" t="s">
        <v>78</v>
      </c>
      <c r="B122" s="35" t="s">
        <v>79</v>
      </c>
      <c r="C122" s="35" t="s">
        <v>226</v>
      </c>
      <c r="D122" s="36" t="n">
        <v>15795.11</v>
      </c>
      <c r="E122" s="34" t="n">
        <v>85</v>
      </c>
      <c r="F122" s="37" t="n">
        <v>185.82</v>
      </c>
      <c r="G122" s="34" t="s">
        <v>128</v>
      </c>
    </row>
    <row r="123" customFormat="false" ht="15.75" hidden="false" customHeight="true" outlineLevel="0" collapsed="false">
      <c r="A123" s="31" t="s">
        <v>78</v>
      </c>
      <c r="B123" s="32" t="s">
        <v>79</v>
      </c>
      <c r="C123" s="32" t="s">
        <v>227</v>
      </c>
      <c r="D123" s="33" t="n">
        <v>15602.33</v>
      </c>
      <c r="E123" s="31" t="n">
        <v>84</v>
      </c>
      <c r="F123" s="37" t="n">
        <v>185.74</v>
      </c>
      <c r="G123" s="31" t="s">
        <v>128</v>
      </c>
    </row>
    <row r="124" customFormat="false" ht="15.75" hidden="false" customHeight="true" outlineLevel="0" collapsed="false">
      <c r="A124" s="34" t="s">
        <v>78</v>
      </c>
      <c r="B124" s="35" t="s">
        <v>79</v>
      </c>
      <c r="C124" s="35" t="s">
        <v>228</v>
      </c>
      <c r="D124" s="36" t="n">
        <v>15168.55</v>
      </c>
      <c r="E124" s="34" t="n">
        <v>37</v>
      </c>
      <c r="F124" s="37" t="n">
        <v>409.96</v>
      </c>
      <c r="G124" s="34" t="s">
        <v>106</v>
      </c>
    </row>
    <row r="125" customFormat="false" ht="15.75" hidden="false" customHeight="true" outlineLevel="0" collapsed="false">
      <c r="A125" s="31" t="s">
        <v>78</v>
      </c>
      <c r="B125" s="32" t="s">
        <v>79</v>
      </c>
      <c r="C125" s="32" t="s">
        <v>229</v>
      </c>
      <c r="D125" s="33" t="n">
        <v>10444.99</v>
      </c>
      <c r="E125" s="31" t="n">
        <v>182</v>
      </c>
      <c r="F125" s="38" t="n">
        <v>57.39</v>
      </c>
      <c r="G125" s="31" t="s">
        <v>110</v>
      </c>
    </row>
    <row r="126" customFormat="false" ht="15.75" hidden="false" customHeight="true" outlineLevel="0" collapsed="false">
      <c r="A126" s="34" t="s">
        <v>78</v>
      </c>
      <c r="B126" s="35" t="s">
        <v>79</v>
      </c>
      <c r="C126" s="35" t="s">
        <v>230</v>
      </c>
      <c r="D126" s="36" t="n">
        <v>8893.46</v>
      </c>
      <c r="E126" s="34" t="n">
        <v>80</v>
      </c>
      <c r="F126" s="39" t="n">
        <v>111.17</v>
      </c>
      <c r="G126" s="34" t="s">
        <v>112</v>
      </c>
    </row>
    <row r="127" customFormat="false" ht="15.75" hidden="false" customHeight="true" outlineLevel="0" collapsed="false">
      <c r="A127" s="31" t="s">
        <v>78</v>
      </c>
      <c r="B127" s="32" t="s">
        <v>79</v>
      </c>
      <c r="C127" s="32" t="s">
        <v>231</v>
      </c>
      <c r="D127" s="33" t="n">
        <v>8000</v>
      </c>
      <c r="E127" s="31" t="n">
        <v>20</v>
      </c>
      <c r="F127" s="37" t="n">
        <v>400</v>
      </c>
      <c r="G127" s="31" t="s">
        <v>106</v>
      </c>
    </row>
    <row r="128" customFormat="false" ht="15.75" hidden="false" customHeight="true" outlineLevel="0" collapsed="false">
      <c r="A128" s="34" t="s">
        <v>81</v>
      </c>
      <c r="B128" s="35" t="s">
        <v>82</v>
      </c>
      <c r="C128" s="35" t="s">
        <v>232</v>
      </c>
      <c r="D128" s="36" t="n">
        <v>141690.68</v>
      </c>
      <c r="E128" s="34" t="n">
        <v>2396</v>
      </c>
      <c r="F128" s="38" t="n">
        <v>59.14</v>
      </c>
      <c r="G128" s="34" t="s">
        <v>110</v>
      </c>
    </row>
    <row r="129" customFormat="false" ht="15.75" hidden="false" customHeight="true" outlineLevel="0" collapsed="false">
      <c r="A129" s="31" t="s">
        <v>81</v>
      </c>
      <c r="B129" s="32" t="s">
        <v>82</v>
      </c>
      <c r="C129" s="32" t="s">
        <v>233</v>
      </c>
      <c r="D129" s="33" t="n">
        <v>80182.34</v>
      </c>
      <c r="E129" s="31" t="n">
        <v>891</v>
      </c>
      <c r="F129" s="39" t="n">
        <v>89.99</v>
      </c>
      <c r="G129" s="31" t="s">
        <v>112</v>
      </c>
    </row>
    <row r="130" customFormat="false" ht="15.75" hidden="false" customHeight="true" outlineLevel="0" collapsed="false">
      <c r="A130" s="34" t="s">
        <v>81</v>
      </c>
      <c r="B130" s="35" t="s">
        <v>82</v>
      </c>
      <c r="C130" s="35" t="s">
        <v>234</v>
      </c>
      <c r="D130" s="36" t="n">
        <v>77942.87</v>
      </c>
      <c r="E130" s="34" t="n">
        <v>827</v>
      </c>
      <c r="F130" s="39" t="n">
        <v>94.25</v>
      </c>
      <c r="G130" s="34" t="s">
        <v>112</v>
      </c>
    </row>
    <row r="131" customFormat="false" ht="15.75" hidden="false" customHeight="true" outlineLevel="0" collapsed="false">
      <c r="A131" s="31" t="s">
        <v>81</v>
      </c>
      <c r="B131" s="32" t="s">
        <v>82</v>
      </c>
      <c r="C131" s="32" t="s">
        <v>235</v>
      </c>
      <c r="D131" s="33" t="n">
        <v>35221.43</v>
      </c>
      <c r="E131" s="31" t="n">
        <v>177</v>
      </c>
      <c r="F131" s="37" t="n">
        <v>198.99</v>
      </c>
      <c r="G131" s="31" t="s">
        <v>128</v>
      </c>
    </row>
    <row r="132" customFormat="false" ht="15.75" hidden="false" customHeight="true" outlineLevel="0" collapsed="false">
      <c r="A132" s="34" t="s">
        <v>81</v>
      </c>
      <c r="B132" s="35" t="s">
        <v>82</v>
      </c>
      <c r="C132" s="35" t="s">
        <v>236</v>
      </c>
      <c r="D132" s="36" t="n">
        <v>33587.67</v>
      </c>
      <c r="E132" s="34" t="n">
        <v>148</v>
      </c>
      <c r="F132" s="37" t="n">
        <v>226.94</v>
      </c>
      <c r="G132" s="34" t="s">
        <v>116</v>
      </c>
    </row>
    <row r="133" customFormat="false" ht="15.75" hidden="false" customHeight="true" outlineLevel="0" collapsed="false">
      <c r="A133" s="31" t="s">
        <v>81</v>
      </c>
      <c r="B133" s="32" t="s">
        <v>82</v>
      </c>
      <c r="C133" s="32" t="s">
        <v>237</v>
      </c>
      <c r="D133" s="33" t="n">
        <v>30359.12</v>
      </c>
      <c r="E133" s="31" t="n">
        <v>151</v>
      </c>
      <c r="F133" s="37" t="n">
        <v>201.05</v>
      </c>
      <c r="G133" s="31" t="s">
        <v>116</v>
      </c>
    </row>
    <row r="134" customFormat="false" ht="15.75" hidden="false" customHeight="true" outlineLevel="0" collapsed="false">
      <c r="A134" s="34" t="s">
        <v>81</v>
      </c>
      <c r="B134" s="35" t="s">
        <v>82</v>
      </c>
      <c r="C134" s="35" t="s">
        <v>238</v>
      </c>
      <c r="D134" s="36" t="n">
        <v>28124.83</v>
      </c>
      <c r="E134" s="34" t="n">
        <v>278</v>
      </c>
      <c r="F134" s="39" t="n">
        <v>101.17</v>
      </c>
      <c r="G134" s="34" t="s">
        <v>112</v>
      </c>
    </row>
    <row r="135" customFormat="false" ht="15.75" hidden="false" customHeight="true" outlineLevel="0" collapsed="false">
      <c r="A135" s="31" t="s">
        <v>81</v>
      </c>
      <c r="B135" s="32" t="s">
        <v>82</v>
      </c>
      <c r="C135" s="32" t="s">
        <v>239</v>
      </c>
      <c r="D135" s="33" t="n">
        <v>27963.16</v>
      </c>
      <c r="E135" s="31" t="n">
        <v>120</v>
      </c>
      <c r="F135" s="37" t="n">
        <v>233.03</v>
      </c>
      <c r="G135" s="31" t="s">
        <v>116</v>
      </c>
    </row>
    <row r="136" customFormat="false" ht="15.75" hidden="false" customHeight="true" outlineLevel="0" collapsed="false">
      <c r="A136" s="34" t="s">
        <v>81</v>
      </c>
      <c r="B136" s="35" t="s">
        <v>82</v>
      </c>
      <c r="C136" s="35" t="s">
        <v>240</v>
      </c>
      <c r="D136" s="36" t="n">
        <v>26402.47</v>
      </c>
      <c r="E136" s="34" t="n">
        <v>122</v>
      </c>
      <c r="F136" s="37" t="n">
        <v>216.41</v>
      </c>
      <c r="G136" s="34" t="s">
        <v>116</v>
      </c>
    </row>
    <row r="137" customFormat="false" ht="15.75" hidden="false" customHeight="true" outlineLevel="0" collapsed="false">
      <c r="A137" s="31" t="s">
        <v>81</v>
      </c>
      <c r="B137" s="32" t="s">
        <v>82</v>
      </c>
      <c r="C137" s="32" t="s">
        <v>241</v>
      </c>
      <c r="D137" s="33" t="n">
        <v>26109.05</v>
      </c>
      <c r="E137" s="31" t="n">
        <v>215</v>
      </c>
      <c r="F137" s="39" t="n">
        <v>121.44</v>
      </c>
      <c r="G137" s="31" t="s">
        <v>112</v>
      </c>
    </row>
    <row r="138" customFormat="false" ht="15.75" hidden="false" customHeight="true" outlineLevel="0" collapsed="false">
      <c r="A138" s="34" t="s">
        <v>81</v>
      </c>
      <c r="B138" s="35" t="s">
        <v>82</v>
      </c>
      <c r="C138" s="35" t="s">
        <v>242</v>
      </c>
      <c r="D138" s="36" t="n">
        <v>26056.01</v>
      </c>
      <c r="E138" s="34" t="n">
        <v>1246</v>
      </c>
      <c r="F138" s="38" t="n">
        <v>20.91</v>
      </c>
      <c r="G138" s="34" t="s">
        <v>110</v>
      </c>
    </row>
    <row r="139" customFormat="false" ht="15.75" hidden="false" customHeight="true" outlineLevel="0" collapsed="false">
      <c r="A139" s="31" t="s">
        <v>81</v>
      </c>
      <c r="B139" s="32" t="s">
        <v>82</v>
      </c>
      <c r="C139" s="32" t="s">
        <v>243</v>
      </c>
      <c r="D139" s="33" t="n">
        <v>18275.41</v>
      </c>
      <c r="E139" s="31" t="n">
        <v>203</v>
      </c>
      <c r="F139" s="39" t="n">
        <v>90.03</v>
      </c>
      <c r="G139" s="31" t="s">
        <v>112</v>
      </c>
    </row>
    <row r="140" customFormat="false" ht="15.75" hidden="false" customHeight="true" outlineLevel="0" collapsed="false">
      <c r="A140" s="34" t="s">
        <v>81</v>
      </c>
      <c r="B140" s="35" t="s">
        <v>82</v>
      </c>
      <c r="C140" s="35" t="s">
        <v>244</v>
      </c>
      <c r="D140" s="36" t="n">
        <v>13189.55</v>
      </c>
      <c r="E140" s="34" t="n">
        <v>31</v>
      </c>
      <c r="F140" s="37" t="n">
        <v>425.47</v>
      </c>
      <c r="G140" s="34" t="s">
        <v>106</v>
      </c>
    </row>
    <row r="141" customFormat="false" ht="15.75" hidden="false" customHeight="true" outlineLevel="0" collapsed="false">
      <c r="A141" s="31" t="s">
        <v>81</v>
      </c>
      <c r="B141" s="32" t="s">
        <v>82</v>
      </c>
      <c r="C141" s="32" t="s">
        <v>245</v>
      </c>
      <c r="D141" s="33" t="n">
        <v>13041.71</v>
      </c>
      <c r="E141" s="31" t="n">
        <v>31</v>
      </c>
      <c r="F141" s="37" t="n">
        <v>420.7</v>
      </c>
      <c r="G141" s="31" t="s">
        <v>106</v>
      </c>
    </row>
    <row r="142" customFormat="false" ht="15.75" hidden="false" customHeight="true" outlineLevel="0" collapsed="false">
      <c r="A142" s="34" t="s">
        <v>81</v>
      </c>
      <c r="B142" s="35" t="s">
        <v>82</v>
      </c>
      <c r="C142" s="35" t="s">
        <v>246</v>
      </c>
      <c r="D142" s="36" t="n">
        <v>9407.83</v>
      </c>
      <c r="E142" s="34" t="n">
        <v>72</v>
      </c>
      <c r="F142" s="37" t="n">
        <v>130.66</v>
      </c>
      <c r="G142" s="34" t="s">
        <v>128</v>
      </c>
    </row>
    <row r="143" customFormat="false" ht="15.75" hidden="false" customHeight="true" outlineLevel="0" collapsed="false">
      <c r="A143" s="31" t="s">
        <v>81</v>
      </c>
      <c r="B143" s="32" t="s">
        <v>82</v>
      </c>
      <c r="C143" s="32" t="s">
        <v>247</v>
      </c>
      <c r="D143" s="33" t="n">
        <v>8339.81</v>
      </c>
      <c r="E143" s="31" t="n">
        <v>51</v>
      </c>
      <c r="F143" s="37" t="n">
        <v>163.53</v>
      </c>
      <c r="G143" s="31" t="s">
        <v>128</v>
      </c>
    </row>
    <row r="144" customFormat="false" ht="15.75" hidden="false" customHeight="true" outlineLevel="0" collapsed="false">
      <c r="A144" s="34" t="s">
        <v>81</v>
      </c>
      <c r="B144" s="35" t="s">
        <v>82</v>
      </c>
      <c r="C144" s="35" t="s">
        <v>248</v>
      </c>
      <c r="D144" s="36" t="n">
        <v>7507.25</v>
      </c>
      <c r="E144" s="34" t="n">
        <v>37</v>
      </c>
      <c r="F144" s="37" t="n">
        <v>202.9</v>
      </c>
      <c r="G144" s="34" t="s">
        <v>116</v>
      </c>
    </row>
    <row r="145" customFormat="false" ht="15.75" hidden="false" customHeight="true" outlineLevel="0" collapsed="false">
      <c r="A145" s="31" t="s">
        <v>81</v>
      </c>
      <c r="B145" s="32" t="s">
        <v>82</v>
      </c>
      <c r="C145" s="32" t="s">
        <v>249</v>
      </c>
      <c r="D145" s="33" t="n">
        <v>7483.84</v>
      </c>
      <c r="E145" s="31" t="n">
        <v>73</v>
      </c>
      <c r="F145" s="39" t="n">
        <v>102.52</v>
      </c>
      <c r="G145" s="31" t="s">
        <v>112</v>
      </c>
    </row>
    <row r="146" customFormat="false" ht="15.75" hidden="false" customHeight="true" outlineLevel="0" collapsed="false">
      <c r="A146" s="34" t="s">
        <v>81</v>
      </c>
      <c r="B146" s="35" t="s">
        <v>82</v>
      </c>
      <c r="C146" s="35" t="s">
        <v>250</v>
      </c>
      <c r="D146" s="36" t="n">
        <v>6439.48</v>
      </c>
      <c r="E146" s="34" t="n">
        <v>30</v>
      </c>
      <c r="F146" s="37" t="n">
        <v>214.65</v>
      </c>
      <c r="G146" s="34" t="s">
        <v>116</v>
      </c>
    </row>
    <row r="147" customFormat="false" ht="15.75" hidden="false" customHeight="true" outlineLevel="0" collapsed="false">
      <c r="A147" s="31" t="s">
        <v>81</v>
      </c>
      <c r="B147" s="32" t="s">
        <v>82</v>
      </c>
      <c r="C147" s="32" t="s">
        <v>251</v>
      </c>
      <c r="D147" s="33" t="n">
        <v>5732.34</v>
      </c>
      <c r="E147" s="31" t="n">
        <v>35</v>
      </c>
      <c r="F147" s="37" t="n">
        <v>163.78</v>
      </c>
      <c r="G147" s="31" t="s">
        <v>128</v>
      </c>
    </row>
    <row r="148" customFormat="false" ht="15.75" hidden="false" customHeight="true" outlineLevel="0" collapsed="false">
      <c r="A148" s="34" t="s">
        <v>81</v>
      </c>
      <c r="B148" s="35" t="s">
        <v>82</v>
      </c>
      <c r="C148" s="35" t="s">
        <v>252</v>
      </c>
      <c r="D148" s="36" t="n">
        <v>4227.11</v>
      </c>
      <c r="E148" s="34" t="n">
        <v>115</v>
      </c>
      <c r="F148" s="38" t="n">
        <v>36.76</v>
      </c>
      <c r="G148" s="34" t="s">
        <v>110</v>
      </c>
    </row>
    <row r="149" customFormat="false" ht="15.75" hidden="false" customHeight="true" outlineLevel="0" collapsed="false">
      <c r="A149" s="31" t="s">
        <v>81</v>
      </c>
      <c r="B149" s="32" t="s">
        <v>82</v>
      </c>
      <c r="C149" s="32" t="s">
        <v>253</v>
      </c>
      <c r="D149" s="33" t="n">
        <v>3909.41</v>
      </c>
      <c r="E149" s="31" t="n">
        <v>1</v>
      </c>
      <c r="F149" s="37" t="n">
        <v>3909.41</v>
      </c>
      <c r="G149" s="31" t="s">
        <v>106</v>
      </c>
    </row>
    <row r="150" customFormat="false" ht="15.75" hidden="false" customHeight="true" outlineLevel="0" collapsed="false">
      <c r="A150" s="34" t="s">
        <v>81</v>
      </c>
      <c r="B150" s="35" t="s">
        <v>82</v>
      </c>
      <c r="C150" s="35" t="s">
        <v>254</v>
      </c>
      <c r="D150" s="36" t="n">
        <v>3333.69</v>
      </c>
      <c r="E150" s="34" t="n">
        <v>26</v>
      </c>
      <c r="F150" s="39" t="n">
        <v>128.22</v>
      </c>
      <c r="G150" s="34" t="s">
        <v>112</v>
      </c>
    </row>
    <row r="151" customFormat="false" ht="15.75" hidden="false" customHeight="true" outlineLevel="0" collapsed="false">
      <c r="A151" s="31" t="s">
        <v>81</v>
      </c>
      <c r="B151" s="32" t="s">
        <v>82</v>
      </c>
      <c r="C151" s="32" t="s">
        <v>255</v>
      </c>
      <c r="D151" s="33" t="n">
        <v>2005.53</v>
      </c>
      <c r="E151" s="31" t="n">
        <v>35</v>
      </c>
      <c r="F151" s="38" t="n">
        <v>57.3</v>
      </c>
      <c r="G151" s="31" t="s">
        <v>110</v>
      </c>
    </row>
    <row r="152" customFormat="false" ht="15.75" hidden="false" customHeight="true" outlineLevel="0" collapsed="false">
      <c r="A152" s="34" t="s">
        <v>81</v>
      </c>
      <c r="B152" s="35" t="s">
        <v>82</v>
      </c>
      <c r="C152" s="35" t="s">
        <v>256</v>
      </c>
      <c r="D152" s="36" t="n">
        <v>1766.82</v>
      </c>
      <c r="E152" s="34" t="n">
        <v>15</v>
      </c>
      <c r="F152" s="39" t="n">
        <v>117.79</v>
      </c>
      <c r="G152" s="34" t="s">
        <v>112</v>
      </c>
    </row>
    <row r="153" customFormat="false" ht="15.75" hidden="false" customHeight="true" outlineLevel="0" collapsed="false">
      <c r="A153" s="31" t="s">
        <v>85</v>
      </c>
      <c r="B153" s="32" t="s">
        <v>86</v>
      </c>
      <c r="C153" s="32" t="s">
        <v>257</v>
      </c>
      <c r="D153" s="33" t="n">
        <v>153818.29</v>
      </c>
      <c r="E153" s="31" t="n">
        <v>1015</v>
      </c>
      <c r="F153" s="37" t="n">
        <v>151.55</v>
      </c>
      <c r="G153" s="31" t="s">
        <v>128</v>
      </c>
    </row>
    <row r="154" customFormat="false" ht="15.75" hidden="false" customHeight="true" outlineLevel="0" collapsed="false">
      <c r="A154" s="34" t="s">
        <v>85</v>
      </c>
      <c r="B154" s="35" t="s">
        <v>86</v>
      </c>
      <c r="C154" s="35" t="s">
        <v>258</v>
      </c>
      <c r="D154" s="36" t="n">
        <v>58842.03</v>
      </c>
      <c r="E154" s="34" t="n">
        <v>366</v>
      </c>
      <c r="F154" s="37" t="n">
        <v>160.77</v>
      </c>
      <c r="G154" s="34" t="s">
        <v>128</v>
      </c>
    </row>
    <row r="155" customFormat="false" ht="15.75" hidden="false" customHeight="true" outlineLevel="0" collapsed="false">
      <c r="A155" s="31" t="s">
        <v>85</v>
      </c>
      <c r="B155" s="32" t="s">
        <v>86</v>
      </c>
      <c r="C155" s="32" t="s">
        <v>259</v>
      </c>
      <c r="D155" s="33" t="n">
        <v>28198.79</v>
      </c>
      <c r="E155" s="31" t="n">
        <v>162</v>
      </c>
      <c r="F155" s="37" t="n">
        <v>174.07</v>
      </c>
      <c r="G155" s="31" t="s">
        <v>128</v>
      </c>
    </row>
    <row r="156" customFormat="false" ht="15.75" hidden="false" customHeight="true" outlineLevel="0" collapsed="false">
      <c r="A156" s="34" t="s">
        <v>85</v>
      </c>
      <c r="B156" s="35" t="s">
        <v>86</v>
      </c>
      <c r="C156" s="35" t="s">
        <v>260</v>
      </c>
      <c r="D156" s="36" t="n">
        <v>22955.27</v>
      </c>
      <c r="E156" s="34" t="n">
        <v>127</v>
      </c>
      <c r="F156" s="37" t="n">
        <v>180.75</v>
      </c>
      <c r="G156" s="34" t="s">
        <v>128</v>
      </c>
    </row>
    <row r="157" customFormat="false" ht="15.75" hidden="false" customHeight="true" outlineLevel="0" collapsed="false">
      <c r="A157" s="31" t="s">
        <v>85</v>
      </c>
      <c r="B157" s="32" t="s">
        <v>86</v>
      </c>
      <c r="C157" s="32" t="s">
        <v>261</v>
      </c>
      <c r="D157" s="33" t="n">
        <v>18570.34</v>
      </c>
      <c r="E157" s="31" t="n">
        <v>115</v>
      </c>
      <c r="F157" s="37" t="n">
        <v>161.48</v>
      </c>
      <c r="G157" s="31" t="s">
        <v>128</v>
      </c>
    </row>
    <row r="158" customFormat="false" ht="15.75" hidden="false" customHeight="true" outlineLevel="0" collapsed="false">
      <c r="A158" s="34" t="s">
        <v>85</v>
      </c>
      <c r="B158" s="35" t="s">
        <v>86</v>
      </c>
      <c r="C158" s="35" t="s">
        <v>262</v>
      </c>
      <c r="D158" s="36" t="n">
        <v>17942.07</v>
      </c>
      <c r="E158" s="34" t="n">
        <v>105</v>
      </c>
      <c r="F158" s="37" t="n">
        <v>170.88</v>
      </c>
      <c r="G158" s="34" t="s">
        <v>128</v>
      </c>
    </row>
    <row r="159" customFormat="false" ht="15.75" hidden="false" customHeight="true" outlineLevel="0" collapsed="false">
      <c r="A159" s="31" t="s">
        <v>85</v>
      </c>
      <c r="B159" s="32" t="s">
        <v>86</v>
      </c>
      <c r="C159" s="32" t="s">
        <v>263</v>
      </c>
      <c r="D159" s="33" t="n">
        <v>17271.19</v>
      </c>
      <c r="E159" s="31" t="n">
        <v>118</v>
      </c>
      <c r="F159" s="37" t="n">
        <v>146.37</v>
      </c>
      <c r="G159" s="31" t="s">
        <v>128</v>
      </c>
    </row>
    <row r="160" customFormat="false" ht="15.75" hidden="false" customHeight="true" outlineLevel="0" collapsed="false">
      <c r="A160" s="34" t="s">
        <v>85</v>
      </c>
      <c r="B160" s="35" t="s">
        <v>86</v>
      </c>
      <c r="C160" s="35" t="s">
        <v>264</v>
      </c>
      <c r="D160" s="36" t="n">
        <v>17035.46</v>
      </c>
      <c r="E160" s="34" t="n">
        <v>219</v>
      </c>
      <c r="F160" s="38" t="n">
        <v>77.79</v>
      </c>
      <c r="G160" s="34" t="s">
        <v>110</v>
      </c>
    </row>
    <row r="161" customFormat="false" ht="15.75" hidden="false" customHeight="true" outlineLevel="0" collapsed="false">
      <c r="A161" s="31" t="s">
        <v>85</v>
      </c>
      <c r="B161" s="32" t="s">
        <v>86</v>
      </c>
      <c r="C161" s="32" t="s">
        <v>265</v>
      </c>
      <c r="D161" s="33" t="n">
        <v>15700</v>
      </c>
      <c r="E161" s="31" t="n">
        <v>32</v>
      </c>
      <c r="F161" s="37" t="n">
        <v>490</v>
      </c>
      <c r="G161" s="31" t="s">
        <v>106</v>
      </c>
    </row>
    <row r="162" customFormat="false" ht="15.75" hidden="false" customHeight="true" outlineLevel="0" collapsed="false">
      <c r="A162" s="34" t="s">
        <v>85</v>
      </c>
      <c r="B162" s="35" t="s">
        <v>86</v>
      </c>
      <c r="C162" s="35" t="s">
        <v>266</v>
      </c>
      <c r="D162" s="36" t="n">
        <v>15306.35</v>
      </c>
      <c r="E162" s="34" t="n">
        <v>111</v>
      </c>
      <c r="F162" s="37" t="n">
        <v>137.9</v>
      </c>
      <c r="G162" s="34" t="s">
        <v>128</v>
      </c>
    </row>
    <row r="163" customFormat="false" ht="15.75" hidden="false" customHeight="true" outlineLevel="0" collapsed="false">
      <c r="A163" s="31" t="s">
        <v>85</v>
      </c>
      <c r="B163" s="32" t="s">
        <v>86</v>
      </c>
      <c r="C163" s="32" t="s">
        <v>267</v>
      </c>
      <c r="D163" s="33" t="n">
        <v>15152.57</v>
      </c>
      <c r="E163" s="31" t="n">
        <v>103</v>
      </c>
      <c r="F163" s="37" t="n">
        <v>147.11</v>
      </c>
      <c r="G163" s="31" t="s">
        <v>128</v>
      </c>
    </row>
    <row r="164" customFormat="false" ht="15.75" hidden="false" customHeight="true" outlineLevel="0" collapsed="false">
      <c r="A164" s="34" t="s">
        <v>85</v>
      </c>
      <c r="B164" s="35" t="s">
        <v>86</v>
      </c>
      <c r="C164" s="35" t="s">
        <v>268</v>
      </c>
      <c r="D164" s="36" t="n">
        <v>14503.95</v>
      </c>
      <c r="E164" s="34" t="n">
        <v>94</v>
      </c>
      <c r="F164" s="37" t="n">
        <v>154.3</v>
      </c>
      <c r="G164" s="34" t="s">
        <v>128</v>
      </c>
    </row>
    <row r="165" customFormat="false" ht="15.75" hidden="false" customHeight="true" outlineLevel="0" collapsed="false">
      <c r="A165" s="31" t="s">
        <v>85</v>
      </c>
      <c r="B165" s="32" t="s">
        <v>86</v>
      </c>
      <c r="C165" s="32" t="s">
        <v>269</v>
      </c>
      <c r="D165" s="33" t="n">
        <v>10796.52</v>
      </c>
      <c r="E165" s="31" t="n">
        <v>51</v>
      </c>
      <c r="F165" s="37" t="n">
        <v>211.7</v>
      </c>
      <c r="G165" s="31" t="s">
        <v>116</v>
      </c>
    </row>
    <row r="166" customFormat="false" ht="15.75" hidden="false" customHeight="true" outlineLevel="0" collapsed="false">
      <c r="A166" s="34" t="s">
        <v>85</v>
      </c>
      <c r="B166" s="35" t="s">
        <v>86</v>
      </c>
      <c r="C166" s="35" t="s">
        <v>270</v>
      </c>
      <c r="D166" s="36" t="n">
        <v>7432.57</v>
      </c>
      <c r="E166" s="34" t="n">
        <v>56</v>
      </c>
      <c r="F166" s="37" t="n">
        <v>132.72</v>
      </c>
      <c r="G166" s="34" t="s">
        <v>128</v>
      </c>
    </row>
    <row r="167" customFormat="false" ht="15.75" hidden="false" customHeight="true" outlineLevel="0" collapsed="false">
      <c r="A167" s="31" t="s">
        <v>85</v>
      </c>
      <c r="B167" s="32" t="s">
        <v>86</v>
      </c>
      <c r="C167" s="32" t="s">
        <v>271</v>
      </c>
      <c r="D167" s="33" t="n">
        <v>4884.39</v>
      </c>
      <c r="E167" s="31" t="n">
        <v>32</v>
      </c>
      <c r="F167" s="37" t="n">
        <v>152.64</v>
      </c>
      <c r="G167" s="31" t="s">
        <v>128</v>
      </c>
    </row>
    <row r="168" customFormat="false" ht="15.75" hidden="false" customHeight="true" outlineLevel="0" collapsed="false">
      <c r="A168" s="34" t="s">
        <v>85</v>
      </c>
      <c r="B168" s="35" t="s">
        <v>86</v>
      </c>
      <c r="C168" s="35" t="s">
        <v>272</v>
      </c>
      <c r="D168" s="36" t="n">
        <v>4645.63</v>
      </c>
      <c r="E168" s="34" t="n">
        <v>21</v>
      </c>
      <c r="F168" s="37" t="n">
        <v>221.22</v>
      </c>
      <c r="G168" s="34" t="s">
        <v>116</v>
      </c>
    </row>
    <row r="169" customFormat="false" ht="15.75" hidden="false" customHeight="true" outlineLevel="0" collapsed="false">
      <c r="A169" s="31" t="s">
        <v>85</v>
      </c>
      <c r="B169" s="32" t="s">
        <v>86</v>
      </c>
      <c r="C169" s="32" t="s">
        <v>273</v>
      </c>
      <c r="D169" s="33" t="n">
        <v>3178.42</v>
      </c>
      <c r="E169" s="31" t="n">
        <v>15</v>
      </c>
      <c r="F169" s="37" t="n">
        <v>211.89</v>
      </c>
      <c r="G169" s="31" t="s">
        <v>116</v>
      </c>
    </row>
    <row r="170" customFormat="false" ht="15.75" hidden="false" customHeight="true" outlineLevel="0" collapsed="false">
      <c r="A170" s="34" t="s">
        <v>88</v>
      </c>
      <c r="B170" s="35" t="s">
        <v>89</v>
      </c>
      <c r="C170" s="35" t="s">
        <v>274</v>
      </c>
      <c r="D170" s="36" t="n">
        <v>124126.68</v>
      </c>
      <c r="E170" s="34" t="n">
        <v>883</v>
      </c>
      <c r="F170" s="37" t="n">
        <v>140.57</v>
      </c>
      <c r="G170" s="34" t="s">
        <v>128</v>
      </c>
    </row>
    <row r="171" customFormat="false" ht="15.75" hidden="false" customHeight="true" outlineLevel="0" collapsed="false">
      <c r="A171" s="31" t="s">
        <v>88</v>
      </c>
      <c r="B171" s="32" t="s">
        <v>89</v>
      </c>
      <c r="C171" s="32" t="s">
        <v>275</v>
      </c>
      <c r="D171" s="33" t="n">
        <v>87047.75</v>
      </c>
      <c r="E171" s="31" t="n">
        <v>611</v>
      </c>
      <c r="F171" s="37" t="n">
        <v>142.47</v>
      </c>
      <c r="G171" s="31" t="s">
        <v>128</v>
      </c>
    </row>
    <row r="172" customFormat="false" ht="15.75" hidden="false" customHeight="true" outlineLevel="0" collapsed="false">
      <c r="A172" s="34" t="s">
        <v>88</v>
      </c>
      <c r="B172" s="35" t="s">
        <v>89</v>
      </c>
      <c r="C172" s="35" t="s">
        <v>276</v>
      </c>
      <c r="D172" s="36" t="n">
        <v>59061.07</v>
      </c>
      <c r="E172" s="34" t="n">
        <v>705</v>
      </c>
      <c r="F172" s="39" t="n">
        <v>83.77</v>
      </c>
      <c r="G172" s="34" t="s">
        <v>112</v>
      </c>
    </row>
    <row r="173" customFormat="false" ht="15.75" hidden="false" customHeight="true" outlineLevel="0" collapsed="false">
      <c r="A173" s="31" t="s">
        <v>88</v>
      </c>
      <c r="B173" s="32" t="s">
        <v>89</v>
      </c>
      <c r="C173" s="32" t="s">
        <v>277</v>
      </c>
      <c r="D173" s="33" t="n">
        <v>57547.66</v>
      </c>
      <c r="E173" s="31" t="n">
        <v>628</v>
      </c>
      <c r="F173" s="39" t="n">
        <v>91.64</v>
      </c>
      <c r="G173" s="31" t="s">
        <v>112</v>
      </c>
    </row>
    <row r="174" customFormat="false" ht="15.75" hidden="false" customHeight="true" outlineLevel="0" collapsed="false">
      <c r="A174" s="34" t="s">
        <v>88</v>
      </c>
      <c r="B174" s="35" t="s">
        <v>89</v>
      </c>
      <c r="C174" s="35" t="s">
        <v>278</v>
      </c>
      <c r="D174" s="36" t="n">
        <v>47181.34</v>
      </c>
      <c r="E174" s="34" t="n">
        <v>312</v>
      </c>
      <c r="F174" s="37" t="n">
        <v>151.22</v>
      </c>
      <c r="G174" s="34" t="s">
        <v>128</v>
      </c>
    </row>
    <row r="175" customFormat="false" ht="15.75" hidden="false" customHeight="true" outlineLevel="0" collapsed="false">
      <c r="A175" s="31" t="s">
        <v>88</v>
      </c>
      <c r="B175" s="32" t="s">
        <v>89</v>
      </c>
      <c r="C175" s="32" t="s">
        <v>279</v>
      </c>
      <c r="D175" s="33" t="n">
        <v>35726</v>
      </c>
      <c r="E175" s="31" t="n">
        <v>249</v>
      </c>
      <c r="F175" s="37" t="n">
        <v>143.48</v>
      </c>
      <c r="G175" s="31" t="s">
        <v>128</v>
      </c>
    </row>
    <row r="176" customFormat="false" ht="15.75" hidden="false" customHeight="true" outlineLevel="0" collapsed="false">
      <c r="A176" s="34" t="s">
        <v>88</v>
      </c>
      <c r="B176" s="35" t="s">
        <v>89</v>
      </c>
      <c r="C176" s="35" t="s">
        <v>280</v>
      </c>
      <c r="D176" s="36" t="n">
        <v>28608.51</v>
      </c>
      <c r="E176" s="34" t="n">
        <v>252</v>
      </c>
      <c r="F176" s="39" t="n">
        <v>113.53</v>
      </c>
      <c r="G176" s="34" t="s">
        <v>112</v>
      </c>
    </row>
    <row r="177" customFormat="false" ht="15.75" hidden="false" customHeight="true" outlineLevel="0" collapsed="false">
      <c r="A177" s="31" t="s">
        <v>88</v>
      </c>
      <c r="B177" s="32" t="s">
        <v>89</v>
      </c>
      <c r="C177" s="32" t="s">
        <v>281</v>
      </c>
      <c r="D177" s="33" t="n">
        <v>27854.59</v>
      </c>
      <c r="E177" s="31" t="n">
        <v>316</v>
      </c>
      <c r="F177" s="39" t="n">
        <v>88.15</v>
      </c>
      <c r="G177" s="31" t="s">
        <v>112</v>
      </c>
    </row>
    <row r="178" customFormat="false" ht="15.75" hidden="false" customHeight="true" outlineLevel="0" collapsed="false">
      <c r="A178" s="34" t="s">
        <v>88</v>
      </c>
      <c r="B178" s="35" t="s">
        <v>89</v>
      </c>
      <c r="C178" s="35" t="s">
        <v>282</v>
      </c>
      <c r="D178" s="36" t="n">
        <v>27677.71</v>
      </c>
      <c r="E178" s="34" t="n">
        <v>253</v>
      </c>
      <c r="F178" s="39" t="n">
        <v>109.4</v>
      </c>
      <c r="G178" s="34" t="s">
        <v>112</v>
      </c>
    </row>
    <row r="179" customFormat="false" ht="15.75" hidden="false" customHeight="true" outlineLevel="0" collapsed="false">
      <c r="A179" s="31" t="s">
        <v>88</v>
      </c>
      <c r="B179" s="32" t="s">
        <v>89</v>
      </c>
      <c r="C179" s="32" t="s">
        <v>283</v>
      </c>
      <c r="D179" s="33" t="n">
        <v>25941.7</v>
      </c>
      <c r="E179" s="31" t="n">
        <v>239</v>
      </c>
      <c r="F179" s="39" t="n">
        <v>108.54</v>
      </c>
      <c r="G179" s="31" t="s">
        <v>112</v>
      </c>
    </row>
    <row r="180" customFormat="false" ht="15.75" hidden="false" customHeight="true" outlineLevel="0" collapsed="false">
      <c r="A180" s="34" t="s">
        <v>88</v>
      </c>
      <c r="B180" s="35" t="s">
        <v>89</v>
      </c>
      <c r="C180" s="35" t="s">
        <v>284</v>
      </c>
      <c r="D180" s="36" t="n">
        <v>25557.53</v>
      </c>
      <c r="E180" s="34" t="n">
        <v>263</v>
      </c>
      <c r="F180" s="39" t="n">
        <v>97.18</v>
      </c>
      <c r="G180" s="34" t="s">
        <v>112</v>
      </c>
    </row>
    <row r="181" customFormat="false" ht="15.75" hidden="false" customHeight="true" outlineLevel="0" collapsed="false">
      <c r="A181" s="31" t="s">
        <v>88</v>
      </c>
      <c r="B181" s="32" t="s">
        <v>89</v>
      </c>
      <c r="C181" s="32" t="s">
        <v>285</v>
      </c>
      <c r="D181" s="33" t="n">
        <v>24575.32</v>
      </c>
      <c r="E181" s="31" t="n">
        <v>188</v>
      </c>
      <c r="F181" s="37" t="n">
        <v>130.72</v>
      </c>
      <c r="G181" s="31" t="s">
        <v>128</v>
      </c>
    </row>
    <row r="182" customFormat="false" ht="15.75" hidden="false" customHeight="true" outlineLevel="0" collapsed="false">
      <c r="A182" s="34" t="s">
        <v>88</v>
      </c>
      <c r="B182" s="35" t="s">
        <v>89</v>
      </c>
      <c r="C182" s="35" t="s">
        <v>286</v>
      </c>
      <c r="D182" s="36" t="n">
        <v>22887.82</v>
      </c>
      <c r="E182" s="34" t="n">
        <v>218</v>
      </c>
      <c r="F182" s="39" t="n">
        <v>104.99</v>
      </c>
      <c r="G182" s="34" t="s">
        <v>112</v>
      </c>
    </row>
    <row r="183" customFormat="false" ht="15.75" hidden="false" customHeight="true" outlineLevel="0" collapsed="false">
      <c r="A183" s="31" t="s">
        <v>88</v>
      </c>
      <c r="B183" s="32" t="s">
        <v>89</v>
      </c>
      <c r="C183" s="32" t="s">
        <v>287</v>
      </c>
      <c r="D183" s="33" t="n">
        <v>22776.23</v>
      </c>
      <c r="E183" s="31" t="n">
        <v>255</v>
      </c>
      <c r="F183" s="39" t="n">
        <v>89.32</v>
      </c>
      <c r="G183" s="31" t="s">
        <v>112</v>
      </c>
    </row>
    <row r="184" customFormat="false" ht="15.75" hidden="false" customHeight="true" outlineLevel="0" collapsed="false">
      <c r="A184" s="34" t="s">
        <v>88</v>
      </c>
      <c r="B184" s="35" t="s">
        <v>89</v>
      </c>
      <c r="C184" s="35" t="s">
        <v>288</v>
      </c>
      <c r="D184" s="36" t="n">
        <v>22682.88</v>
      </c>
      <c r="E184" s="34" t="n">
        <v>297</v>
      </c>
      <c r="F184" s="38" t="n">
        <v>76.37</v>
      </c>
      <c r="G184" s="34" t="s">
        <v>110</v>
      </c>
    </row>
    <row r="185" customFormat="false" ht="15.75" hidden="false" customHeight="true" outlineLevel="0" collapsed="false">
      <c r="A185" s="31" t="s">
        <v>88</v>
      </c>
      <c r="B185" s="32" t="s">
        <v>89</v>
      </c>
      <c r="C185" s="32" t="s">
        <v>289</v>
      </c>
      <c r="D185" s="33" t="n">
        <v>15700.88</v>
      </c>
      <c r="E185" s="31" t="n">
        <v>100</v>
      </c>
      <c r="F185" s="37" t="n">
        <v>157.01</v>
      </c>
      <c r="G185" s="31" t="s">
        <v>128</v>
      </c>
    </row>
    <row r="186" customFormat="false" ht="15.75" hidden="false" customHeight="true" outlineLevel="0" collapsed="false">
      <c r="A186" s="34" t="s">
        <v>88</v>
      </c>
      <c r="B186" s="35" t="s">
        <v>89</v>
      </c>
      <c r="C186" s="35" t="s">
        <v>290</v>
      </c>
      <c r="D186" s="36" t="n">
        <v>14863.43</v>
      </c>
      <c r="E186" s="34" t="n">
        <v>99</v>
      </c>
      <c r="F186" s="37" t="n">
        <v>150.14</v>
      </c>
      <c r="G186" s="34" t="s">
        <v>128</v>
      </c>
    </row>
    <row r="187" customFormat="false" ht="15.75" hidden="false" customHeight="true" outlineLevel="0" collapsed="false">
      <c r="A187" s="31" t="s">
        <v>88</v>
      </c>
      <c r="B187" s="32" t="s">
        <v>89</v>
      </c>
      <c r="C187" s="32" t="s">
        <v>291</v>
      </c>
      <c r="D187" s="33" t="n">
        <v>13342.75</v>
      </c>
      <c r="E187" s="31" t="n">
        <v>62</v>
      </c>
      <c r="F187" s="37" t="n">
        <v>215.21</v>
      </c>
      <c r="G187" s="31" t="s">
        <v>116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8"/>
  </cols>
  <sheetData>
    <row r="2" customFormat="false" ht="34.5" hidden="false" customHeight="true" outlineLevel="0" collapsed="false">
      <c r="A2" s="40" t="s">
        <v>292</v>
      </c>
      <c r="B2" s="40"/>
      <c r="C2" s="40"/>
      <c r="D2" s="40"/>
      <c r="E2" s="40"/>
      <c r="F2" s="40"/>
      <c r="G2" s="40"/>
    </row>
    <row r="4" customFormat="false" ht="15" hidden="false" customHeight="false" outlineLevel="0" collapsed="false">
      <c r="A4" s="41" t="s">
        <v>97</v>
      </c>
      <c r="B4" s="41" t="s">
        <v>52</v>
      </c>
      <c r="C4" s="41" t="s">
        <v>98</v>
      </c>
      <c r="D4" s="41" t="s">
        <v>293</v>
      </c>
      <c r="E4" s="41" t="s">
        <v>99</v>
      </c>
      <c r="F4" s="41" t="s">
        <v>100</v>
      </c>
      <c r="G4" s="41" t="s">
        <v>294</v>
      </c>
    </row>
    <row r="5" customFormat="false" ht="18" hidden="false" customHeight="true" outlineLevel="0" collapsed="false">
      <c r="A5" s="42" t="s">
        <v>81</v>
      </c>
      <c r="B5" s="43" t="s">
        <v>82</v>
      </c>
      <c r="C5" s="43" t="s">
        <v>242</v>
      </c>
      <c r="D5" s="44" t="n">
        <v>26056.01</v>
      </c>
      <c r="E5" s="42" t="n">
        <v>1246</v>
      </c>
      <c r="F5" s="27" t="n">
        <v>20.91</v>
      </c>
      <c r="G5" s="43" t="s">
        <v>295</v>
      </c>
    </row>
    <row r="6" customFormat="false" ht="18" hidden="false" customHeight="true" outlineLevel="0" collapsed="false">
      <c r="A6" s="45" t="s">
        <v>67</v>
      </c>
      <c r="B6" s="46" t="s">
        <v>68</v>
      </c>
      <c r="C6" s="46" t="s">
        <v>160</v>
      </c>
      <c r="D6" s="47" t="n">
        <v>521.49</v>
      </c>
      <c r="E6" s="45" t="n">
        <v>15</v>
      </c>
      <c r="F6" s="27" t="n">
        <v>34.77</v>
      </c>
      <c r="G6" s="46" t="s">
        <v>296</v>
      </c>
    </row>
    <row r="7" customFormat="false" ht="18" hidden="false" customHeight="true" outlineLevel="0" collapsed="false">
      <c r="A7" s="42" t="s">
        <v>81</v>
      </c>
      <c r="B7" s="43" t="s">
        <v>82</v>
      </c>
      <c r="C7" s="43" t="s">
        <v>252</v>
      </c>
      <c r="D7" s="44" t="n">
        <v>4227.11</v>
      </c>
      <c r="E7" s="42" t="n">
        <v>115</v>
      </c>
      <c r="F7" s="27" t="n">
        <v>36.76</v>
      </c>
      <c r="G7" s="43" t="s">
        <v>297</v>
      </c>
    </row>
    <row r="8" customFormat="false" ht="18" hidden="false" customHeight="true" outlineLevel="0" collapsed="false">
      <c r="A8" s="45" t="s">
        <v>63</v>
      </c>
      <c r="B8" s="46" t="s">
        <v>64</v>
      </c>
      <c r="C8" s="46" t="s">
        <v>114</v>
      </c>
      <c r="D8" s="47" t="n">
        <v>1776.89</v>
      </c>
      <c r="E8" s="45" t="n">
        <v>33</v>
      </c>
      <c r="F8" s="27" t="n">
        <v>53.85</v>
      </c>
      <c r="G8" s="46" t="s">
        <v>298</v>
      </c>
    </row>
    <row r="9" customFormat="false" ht="18" hidden="false" customHeight="true" outlineLevel="0" collapsed="false">
      <c r="A9" s="42" t="s">
        <v>78</v>
      </c>
      <c r="B9" s="43" t="s">
        <v>79</v>
      </c>
      <c r="C9" s="43" t="s">
        <v>218</v>
      </c>
      <c r="D9" s="44" t="n">
        <v>34212.86</v>
      </c>
      <c r="E9" s="42" t="n">
        <v>620</v>
      </c>
      <c r="F9" s="27" t="n">
        <v>55.18</v>
      </c>
      <c r="G9" s="43" t="s">
        <v>299</v>
      </c>
    </row>
    <row r="10" customFormat="false" ht="18" hidden="false" customHeight="true" outlineLevel="0" collapsed="false">
      <c r="A10" s="45" t="s">
        <v>81</v>
      </c>
      <c r="B10" s="46" t="s">
        <v>82</v>
      </c>
      <c r="C10" s="46" t="s">
        <v>255</v>
      </c>
      <c r="D10" s="47" t="n">
        <v>2005.53</v>
      </c>
      <c r="E10" s="45" t="n">
        <v>35</v>
      </c>
      <c r="F10" s="27" t="n">
        <v>57.3</v>
      </c>
      <c r="G10" s="46" t="s">
        <v>300</v>
      </c>
    </row>
    <row r="11" customFormat="false" ht="18" hidden="false" customHeight="true" outlineLevel="0" collapsed="false">
      <c r="A11" s="42" t="s">
        <v>78</v>
      </c>
      <c r="B11" s="43" t="s">
        <v>79</v>
      </c>
      <c r="C11" s="43" t="s">
        <v>229</v>
      </c>
      <c r="D11" s="44" t="n">
        <v>10444.99</v>
      </c>
      <c r="E11" s="42" t="n">
        <v>182</v>
      </c>
      <c r="F11" s="27" t="n">
        <v>57.39</v>
      </c>
      <c r="G11" s="43" t="s">
        <v>301</v>
      </c>
    </row>
    <row r="12" customFormat="false" ht="18" hidden="false" customHeight="true" outlineLevel="0" collapsed="false">
      <c r="A12" s="45" t="s">
        <v>81</v>
      </c>
      <c r="B12" s="46" t="s">
        <v>82</v>
      </c>
      <c r="C12" s="46" t="s">
        <v>232</v>
      </c>
      <c r="D12" s="47" t="n">
        <v>141690.68</v>
      </c>
      <c r="E12" s="45" t="n">
        <v>2396</v>
      </c>
      <c r="F12" s="27" t="n">
        <v>59.14</v>
      </c>
      <c r="G12" s="46" t="s">
        <v>302</v>
      </c>
    </row>
    <row r="13" customFormat="false" ht="18" hidden="false" customHeight="true" outlineLevel="0" collapsed="false">
      <c r="A13" s="42" t="s">
        <v>75</v>
      </c>
      <c r="B13" s="43" t="s">
        <v>199</v>
      </c>
      <c r="C13" s="43" t="s">
        <v>203</v>
      </c>
      <c r="D13" s="44" t="n">
        <v>51155.97</v>
      </c>
      <c r="E13" s="42" t="n">
        <v>855</v>
      </c>
      <c r="F13" s="27" t="n">
        <v>59.83</v>
      </c>
      <c r="G13" s="43" t="s">
        <v>303</v>
      </c>
    </row>
    <row r="14" customFormat="false" ht="18" hidden="false" customHeight="true" outlineLevel="0" collapsed="false">
      <c r="A14" s="45" t="s">
        <v>63</v>
      </c>
      <c r="B14" s="46" t="s">
        <v>64</v>
      </c>
      <c r="C14" s="46" t="s">
        <v>109</v>
      </c>
      <c r="D14" s="47" t="n">
        <v>143217.31</v>
      </c>
      <c r="E14" s="45" t="n">
        <v>2370</v>
      </c>
      <c r="F14" s="27" t="n">
        <v>60.43</v>
      </c>
      <c r="G14" s="46" t="s">
        <v>304</v>
      </c>
    </row>
    <row r="15" customFormat="false" ht="18" hidden="false" customHeight="true" outlineLevel="0" collapsed="false">
      <c r="A15" s="42" t="s">
        <v>75</v>
      </c>
      <c r="B15" s="43" t="s">
        <v>199</v>
      </c>
      <c r="C15" s="43" t="s">
        <v>205</v>
      </c>
      <c r="D15" s="44" t="n">
        <v>46031.91</v>
      </c>
      <c r="E15" s="42" t="n">
        <v>698</v>
      </c>
      <c r="F15" s="27" t="n">
        <v>65.95</v>
      </c>
      <c r="G15" s="43" t="s">
        <v>305</v>
      </c>
    </row>
    <row r="16" customFormat="false" ht="18" hidden="false" customHeight="true" outlineLevel="0" collapsed="false">
      <c r="A16" s="45" t="s">
        <v>71</v>
      </c>
      <c r="B16" s="46" t="s">
        <v>72</v>
      </c>
      <c r="C16" s="46" t="s">
        <v>170</v>
      </c>
      <c r="D16" s="47" t="n">
        <v>52464.09</v>
      </c>
      <c r="E16" s="45" t="n">
        <v>701</v>
      </c>
      <c r="F16" s="27" t="n">
        <v>74.84</v>
      </c>
      <c r="G16" s="46" t="s">
        <v>304</v>
      </c>
    </row>
    <row r="17" customFormat="false" ht="18" hidden="false" customHeight="true" outlineLevel="0" collapsed="false">
      <c r="A17" s="42" t="s">
        <v>67</v>
      </c>
      <c r="B17" s="43" t="s">
        <v>68</v>
      </c>
      <c r="C17" s="43" t="s">
        <v>146</v>
      </c>
      <c r="D17" s="44" t="n">
        <v>11018.98</v>
      </c>
      <c r="E17" s="42" t="n">
        <v>146</v>
      </c>
      <c r="F17" s="27" t="n">
        <v>75.47</v>
      </c>
      <c r="G17" s="43" t="s">
        <v>306</v>
      </c>
    </row>
    <row r="18" customFormat="false" ht="18" hidden="false" customHeight="true" outlineLevel="0" collapsed="false">
      <c r="A18" s="45" t="s">
        <v>63</v>
      </c>
      <c r="B18" s="46" t="s">
        <v>64</v>
      </c>
      <c r="C18" s="46" t="s">
        <v>113</v>
      </c>
      <c r="D18" s="47" t="n">
        <v>4767.23</v>
      </c>
      <c r="E18" s="45" t="n">
        <v>63</v>
      </c>
      <c r="F18" s="27" t="n">
        <v>75.67</v>
      </c>
      <c r="G18" s="46" t="s">
        <v>304</v>
      </c>
    </row>
    <row r="19" customFormat="false" ht="18" hidden="false" customHeight="true" outlineLevel="0" collapsed="false">
      <c r="A19" s="42" t="s">
        <v>88</v>
      </c>
      <c r="B19" s="43" t="s">
        <v>89</v>
      </c>
      <c r="C19" s="43" t="s">
        <v>288</v>
      </c>
      <c r="D19" s="44" t="n">
        <v>22682.88</v>
      </c>
      <c r="E19" s="42" t="n">
        <v>297</v>
      </c>
      <c r="F19" s="27" t="n">
        <v>76.37</v>
      </c>
      <c r="G19" s="43" t="s">
        <v>307</v>
      </c>
    </row>
    <row r="20" customFormat="false" ht="18" hidden="false" customHeight="true" outlineLevel="0" collapsed="false">
      <c r="A20" s="45" t="s">
        <v>85</v>
      </c>
      <c r="B20" s="46" t="s">
        <v>86</v>
      </c>
      <c r="C20" s="46" t="s">
        <v>264</v>
      </c>
      <c r="D20" s="47" t="n">
        <v>17035.46</v>
      </c>
      <c r="E20" s="45" t="n">
        <v>219</v>
      </c>
      <c r="F20" s="27" t="n">
        <v>77.79</v>
      </c>
      <c r="G20" s="46" t="s">
        <v>304</v>
      </c>
    </row>
    <row r="21" customFormat="false" ht="18" hidden="false" customHeight="true" outlineLevel="0" collapsed="false">
      <c r="A21" s="42" t="s">
        <v>67</v>
      </c>
      <c r="B21" s="43" t="s">
        <v>68</v>
      </c>
      <c r="C21" s="43" t="s">
        <v>132</v>
      </c>
      <c r="D21" s="44" t="n">
        <v>43018.79</v>
      </c>
      <c r="E21" s="42" t="n">
        <v>535</v>
      </c>
      <c r="F21" s="28" t="n">
        <v>80.41</v>
      </c>
      <c r="G21" s="43" t="s">
        <v>304</v>
      </c>
    </row>
    <row r="22" customFormat="false" ht="18" hidden="false" customHeight="true" outlineLevel="0" collapsed="false">
      <c r="A22" s="45" t="s">
        <v>63</v>
      </c>
      <c r="B22" s="46" t="s">
        <v>64</v>
      </c>
      <c r="C22" s="46" t="s">
        <v>111</v>
      </c>
      <c r="D22" s="47" t="n">
        <v>39047.2</v>
      </c>
      <c r="E22" s="45" t="n">
        <v>485</v>
      </c>
      <c r="F22" s="28" t="n">
        <v>80.51</v>
      </c>
      <c r="G22" s="46" t="s">
        <v>304</v>
      </c>
    </row>
    <row r="23" customFormat="false" ht="18" hidden="false" customHeight="true" outlineLevel="0" collapsed="false">
      <c r="A23" s="42" t="s">
        <v>88</v>
      </c>
      <c r="B23" s="43" t="s">
        <v>89</v>
      </c>
      <c r="C23" s="43" t="s">
        <v>276</v>
      </c>
      <c r="D23" s="44" t="n">
        <v>59061.07</v>
      </c>
      <c r="E23" s="42" t="n">
        <v>705</v>
      </c>
      <c r="F23" s="28" t="n">
        <v>83.77</v>
      </c>
      <c r="G23" s="43" t="s">
        <v>304</v>
      </c>
    </row>
    <row r="24" customFormat="false" ht="18" hidden="false" customHeight="true" outlineLevel="0" collapsed="false">
      <c r="A24" s="45" t="s">
        <v>67</v>
      </c>
      <c r="B24" s="46" t="s">
        <v>68</v>
      </c>
      <c r="C24" s="46" t="s">
        <v>125</v>
      </c>
      <c r="D24" s="47" t="n">
        <v>112658.82</v>
      </c>
      <c r="E24" s="45" t="n">
        <v>1321</v>
      </c>
      <c r="F24" s="28" t="n">
        <v>85.28</v>
      </c>
      <c r="G24" s="46" t="s">
        <v>304</v>
      </c>
    </row>
    <row r="25" customFormat="false" ht="18" hidden="false" customHeight="true" outlineLevel="0" collapsed="false">
      <c r="A25" s="42" t="s">
        <v>88</v>
      </c>
      <c r="B25" s="43" t="s">
        <v>89</v>
      </c>
      <c r="C25" s="43" t="s">
        <v>281</v>
      </c>
      <c r="D25" s="44" t="n">
        <v>27854.59</v>
      </c>
      <c r="E25" s="42" t="n">
        <v>316</v>
      </c>
      <c r="F25" s="28" t="n">
        <v>88.15</v>
      </c>
      <c r="G25" s="43" t="s">
        <v>304</v>
      </c>
    </row>
    <row r="26" customFormat="false" ht="18" hidden="false" customHeight="true" outlineLevel="0" collapsed="false">
      <c r="A26" s="45" t="s">
        <v>88</v>
      </c>
      <c r="B26" s="46" t="s">
        <v>89</v>
      </c>
      <c r="C26" s="46" t="s">
        <v>287</v>
      </c>
      <c r="D26" s="47" t="n">
        <v>22776.23</v>
      </c>
      <c r="E26" s="45" t="n">
        <v>255</v>
      </c>
      <c r="F26" s="28" t="n">
        <v>89.32</v>
      </c>
      <c r="G26" s="46" t="s">
        <v>304</v>
      </c>
    </row>
    <row r="27" customFormat="false" ht="18" hidden="false" customHeight="true" outlineLevel="0" collapsed="false">
      <c r="A27" s="42" t="s">
        <v>67</v>
      </c>
      <c r="B27" s="43" t="s">
        <v>68</v>
      </c>
      <c r="C27" s="43" t="s">
        <v>133</v>
      </c>
      <c r="D27" s="44" t="n">
        <v>41673.18</v>
      </c>
      <c r="E27" s="42" t="n">
        <v>466</v>
      </c>
      <c r="F27" s="28" t="n">
        <v>89.43</v>
      </c>
      <c r="G27" s="43" t="s">
        <v>304</v>
      </c>
    </row>
    <row r="28" customFormat="false" ht="18" hidden="false" customHeight="true" outlineLevel="0" collapsed="false">
      <c r="A28" s="45" t="s">
        <v>67</v>
      </c>
      <c r="B28" s="46" t="s">
        <v>68</v>
      </c>
      <c r="C28" s="46" t="s">
        <v>153</v>
      </c>
      <c r="D28" s="47" t="n">
        <v>6095.14</v>
      </c>
      <c r="E28" s="45" t="n">
        <v>68</v>
      </c>
      <c r="F28" s="28" t="n">
        <v>89.63</v>
      </c>
      <c r="G28" s="46" t="s">
        <v>304</v>
      </c>
    </row>
    <row r="29" customFormat="false" ht="18" hidden="false" customHeight="true" outlineLevel="0" collapsed="false">
      <c r="A29" s="42" t="s">
        <v>81</v>
      </c>
      <c r="B29" s="43" t="s">
        <v>82</v>
      </c>
      <c r="C29" s="43" t="s">
        <v>233</v>
      </c>
      <c r="D29" s="44" t="n">
        <v>80182.34</v>
      </c>
      <c r="E29" s="42" t="n">
        <v>891</v>
      </c>
      <c r="F29" s="28" t="n">
        <v>89.99</v>
      </c>
      <c r="G29" s="43" t="s">
        <v>304</v>
      </c>
    </row>
    <row r="30" customFormat="false" ht="18" hidden="false" customHeight="true" outlineLevel="0" collapsed="false">
      <c r="A30" s="45" t="s">
        <v>81</v>
      </c>
      <c r="B30" s="46" t="s">
        <v>82</v>
      </c>
      <c r="C30" s="46" t="s">
        <v>243</v>
      </c>
      <c r="D30" s="47" t="n">
        <v>18275.41</v>
      </c>
      <c r="E30" s="45" t="n">
        <v>203</v>
      </c>
      <c r="F30" s="28" t="n">
        <v>90.03</v>
      </c>
      <c r="G30" s="46" t="s">
        <v>304</v>
      </c>
    </row>
    <row r="31" customFormat="false" ht="18" hidden="false" customHeight="true" outlineLevel="0" collapsed="false">
      <c r="A31" s="42" t="s">
        <v>88</v>
      </c>
      <c r="B31" s="43" t="s">
        <v>89</v>
      </c>
      <c r="C31" s="43" t="s">
        <v>277</v>
      </c>
      <c r="D31" s="44" t="n">
        <v>57547.66</v>
      </c>
      <c r="E31" s="42" t="n">
        <v>628</v>
      </c>
      <c r="F31" s="28" t="n">
        <v>91.64</v>
      </c>
      <c r="G31" s="43" t="s">
        <v>304</v>
      </c>
    </row>
    <row r="32" customFormat="false" ht="18" hidden="false" customHeight="true" outlineLevel="0" collapsed="false">
      <c r="A32" s="45" t="s">
        <v>81</v>
      </c>
      <c r="B32" s="46" t="s">
        <v>82</v>
      </c>
      <c r="C32" s="46" t="s">
        <v>234</v>
      </c>
      <c r="D32" s="47" t="n">
        <v>77942.87</v>
      </c>
      <c r="E32" s="45" t="n">
        <v>827</v>
      </c>
      <c r="F32" s="28" t="n">
        <v>94.25</v>
      </c>
      <c r="G32" s="46" t="s">
        <v>304</v>
      </c>
    </row>
    <row r="33" customFormat="false" ht="18" hidden="false" customHeight="true" outlineLevel="0" collapsed="false">
      <c r="A33" s="42" t="s">
        <v>67</v>
      </c>
      <c r="B33" s="43" t="s">
        <v>68</v>
      </c>
      <c r="C33" s="43" t="s">
        <v>122</v>
      </c>
      <c r="D33" s="44" t="n">
        <v>330086.88</v>
      </c>
      <c r="E33" s="42" t="n">
        <v>3489</v>
      </c>
      <c r="F33" s="28" t="n">
        <v>94.61</v>
      </c>
      <c r="G33" s="43" t="s">
        <v>304</v>
      </c>
    </row>
    <row r="34" customFormat="false" ht="18" hidden="false" customHeight="true" outlineLevel="0" collapsed="false">
      <c r="A34" s="45" t="s">
        <v>71</v>
      </c>
      <c r="B34" s="46" t="s">
        <v>72</v>
      </c>
      <c r="C34" s="46" t="s">
        <v>197</v>
      </c>
      <c r="D34" s="47" t="n">
        <v>1895.76</v>
      </c>
      <c r="E34" s="45" t="n">
        <v>20</v>
      </c>
      <c r="F34" s="28" t="n">
        <v>94.79</v>
      </c>
      <c r="G34" s="46" t="s">
        <v>304</v>
      </c>
    </row>
    <row r="35" customFormat="false" ht="18" hidden="false" customHeight="true" outlineLevel="0" collapsed="false">
      <c r="A35" s="42" t="s">
        <v>67</v>
      </c>
      <c r="B35" s="43" t="s">
        <v>68</v>
      </c>
      <c r="C35" s="43" t="s">
        <v>126</v>
      </c>
      <c r="D35" s="44" t="n">
        <v>101277.62</v>
      </c>
      <c r="E35" s="42" t="n">
        <v>1057</v>
      </c>
      <c r="F35" s="28" t="n">
        <v>95.82</v>
      </c>
      <c r="G35" s="43" t="s">
        <v>304</v>
      </c>
    </row>
    <row r="36" customFormat="false" ht="18" hidden="false" customHeight="true" outlineLevel="0" collapsed="false">
      <c r="A36" s="45" t="s">
        <v>67</v>
      </c>
      <c r="B36" s="46" t="s">
        <v>68</v>
      </c>
      <c r="C36" s="46" t="s">
        <v>124</v>
      </c>
      <c r="D36" s="47" t="n">
        <v>130661.98</v>
      </c>
      <c r="E36" s="45" t="n">
        <v>1347</v>
      </c>
      <c r="F36" s="28" t="n">
        <v>97</v>
      </c>
      <c r="G36" s="46" t="s">
        <v>304</v>
      </c>
    </row>
    <row r="37" customFormat="false" ht="18" hidden="false" customHeight="true" outlineLevel="0" collapsed="false">
      <c r="A37" s="42" t="s">
        <v>88</v>
      </c>
      <c r="B37" s="43" t="s">
        <v>89</v>
      </c>
      <c r="C37" s="43" t="s">
        <v>284</v>
      </c>
      <c r="D37" s="44" t="n">
        <v>25557.53</v>
      </c>
      <c r="E37" s="42" t="n">
        <v>263</v>
      </c>
      <c r="F37" s="28" t="n">
        <v>97.18</v>
      </c>
      <c r="G37" s="43" t="s">
        <v>304</v>
      </c>
    </row>
    <row r="38" customFormat="false" ht="18" hidden="false" customHeight="true" outlineLevel="0" collapsed="false">
      <c r="A38" s="45" t="s">
        <v>71</v>
      </c>
      <c r="B38" s="46" t="s">
        <v>72</v>
      </c>
      <c r="C38" s="46" t="s">
        <v>163</v>
      </c>
      <c r="D38" s="47" t="n">
        <v>108687.51</v>
      </c>
      <c r="E38" s="45" t="n">
        <v>1088</v>
      </c>
      <c r="F38" s="28" t="n">
        <v>99.9</v>
      </c>
      <c r="G38" s="46" t="s">
        <v>304</v>
      </c>
    </row>
    <row r="39" customFormat="false" ht="18" hidden="false" customHeight="true" outlineLevel="0" collapsed="false">
      <c r="A39" s="42" t="s">
        <v>81</v>
      </c>
      <c r="B39" s="43" t="s">
        <v>82</v>
      </c>
      <c r="C39" s="43" t="s">
        <v>238</v>
      </c>
      <c r="D39" s="44" t="n">
        <v>28124.83</v>
      </c>
      <c r="E39" s="42" t="n">
        <v>278</v>
      </c>
      <c r="F39" s="28" t="n">
        <v>101.17</v>
      </c>
      <c r="G39" s="43" t="s">
        <v>304</v>
      </c>
    </row>
    <row r="40" customFormat="false" ht="18" hidden="false" customHeight="true" outlineLevel="0" collapsed="false">
      <c r="A40" s="45" t="s">
        <v>67</v>
      </c>
      <c r="B40" s="46" t="s">
        <v>68</v>
      </c>
      <c r="C40" s="46" t="s">
        <v>152</v>
      </c>
      <c r="D40" s="47" t="n">
        <v>6510.51</v>
      </c>
      <c r="E40" s="45" t="n">
        <v>64</v>
      </c>
      <c r="F40" s="28" t="n">
        <v>101.73</v>
      </c>
      <c r="G40" s="46" t="s">
        <v>304</v>
      </c>
    </row>
    <row r="41" customFormat="false" ht="18" hidden="false" customHeight="true" outlineLevel="0" collapsed="false">
      <c r="A41" s="42" t="s">
        <v>81</v>
      </c>
      <c r="B41" s="43" t="s">
        <v>82</v>
      </c>
      <c r="C41" s="43" t="s">
        <v>249</v>
      </c>
      <c r="D41" s="44" t="n">
        <v>7483.84</v>
      </c>
      <c r="E41" s="42" t="n">
        <v>73</v>
      </c>
      <c r="F41" s="28" t="n">
        <v>102.52</v>
      </c>
      <c r="G41" s="43" t="s">
        <v>304</v>
      </c>
    </row>
    <row r="42" customFormat="false" ht="18" hidden="false" customHeight="true" outlineLevel="0" collapsed="false">
      <c r="A42" s="45" t="s">
        <v>67</v>
      </c>
      <c r="B42" s="46" t="s">
        <v>68</v>
      </c>
      <c r="C42" s="46" t="s">
        <v>121</v>
      </c>
      <c r="D42" s="47" t="n">
        <v>411910.21</v>
      </c>
      <c r="E42" s="45" t="n">
        <v>4008</v>
      </c>
      <c r="F42" s="28" t="n">
        <v>102.77</v>
      </c>
      <c r="G42" s="46" t="s">
        <v>304</v>
      </c>
    </row>
    <row r="43" customFormat="false" ht="18" hidden="false" customHeight="true" outlineLevel="0" collapsed="false">
      <c r="A43" s="42" t="s">
        <v>78</v>
      </c>
      <c r="B43" s="43" t="s">
        <v>79</v>
      </c>
      <c r="C43" s="43" t="s">
        <v>224</v>
      </c>
      <c r="D43" s="44" t="n">
        <v>19325.21</v>
      </c>
      <c r="E43" s="42" t="n">
        <v>186</v>
      </c>
      <c r="F43" s="28" t="n">
        <v>103.9</v>
      </c>
      <c r="G43" s="43" t="s">
        <v>304</v>
      </c>
    </row>
    <row r="44" customFormat="false" ht="18" hidden="false" customHeight="true" outlineLevel="0" collapsed="false">
      <c r="A44" s="45" t="s">
        <v>67</v>
      </c>
      <c r="B44" s="46" t="s">
        <v>68</v>
      </c>
      <c r="C44" s="46" t="s">
        <v>123</v>
      </c>
      <c r="D44" s="47" t="n">
        <v>239094.47</v>
      </c>
      <c r="E44" s="45" t="n">
        <v>2284</v>
      </c>
      <c r="F44" s="28" t="n">
        <v>104.68</v>
      </c>
      <c r="G44" s="46" t="s">
        <v>304</v>
      </c>
    </row>
    <row r="45" customFormat="false" ht="18" hidden="false" customHeight="true" outlineLevel="0" collapsed="false">
      <c r="A45" s="42" t="s">
        <v>88</v>
      </c>
      <c r="B45" s="43" t="s">
        <v>89</v>
      </c>
      <c r="C45" s="43" t="s">
        <v>286</v>
      </c>
      <c r="D45" s="44" t="n">
        <v>22887.82</v>
      </c>
      <c r="E45" s="42" t="n">
        <v>218</v>
      </c>
      <c r="F45" s="28" t="n">
        <v>104.99</v>
      </c>
      <c r="G45" s="43" t="s">
        <v>304</v>
      </c>
    </row>
    <row r="46" customFormat="false" ht="18" hidden="false" customHeight="true" outlineLevel="0" collapsed="false">
      <c r="A46" s="45" t="s">
        <v>78</v>
      </c>
      <c r="B46" s="46" t="s">
        <v>79</v>
      </c>
      <c r="C46" s="46" t="s">
        <v>217</v>
      </c>
      <c r="D46" s="47" t="n">
        <v>47751.86</v>
      </c>
      <c r="E46" s="45" t="n">
        <v>444</v>
      </c>
      <c r="F46" s="28" t="n">
        <v>107.55</v>
      </c>
      <c r="G46" s="46" t="s">
        <v>304</v>
      </c>
    </row>
    <row r="47" customFormat="false" ht="18" hidden="false" customHeight="true" outlineLevel="0" collapsed="false">
      <c r="A47" s="42" t="s">
        <v>88</v>
      </c>
      <c r="B47" s="43" t="s">
        <v>89</v>
      </c>
      <c r="C47" s="43" t="s">
        <v>283</v>
      </c>
      <c r="D47" s="44" t="n">
        <v>25941.7</v>
      </c>
      <c r="E47" s="42" t="n">
        <v>239</v>
      </c>
      <c r="F47" s="28" t="n">
        <v>108.54</v>
      </c>
      <c r="G47" s="43" t="s">
        <v>304</v>
      </c>
    </row>
    <row r="48" customFormat="false" ht="18" hidden="false" customHeight="true" outlineLevel="0" collapsed="false">
      <c r="A48" s="45" t="s">
        <v>88</v>
      </c>
      <c r="B48" s="46" t="s">
        <v>89</v>
      </c>
      <c r="C48" s="46" t="s">
        <v>282</v>
      </c>
      <c r="D48" s="47" t="n">
        <v>27677.71</v>
      </c>
      <c r="E48" s="45" t="n">
        <v>253</v>
      </c>
      <c r="F48" s="28" t="n">
        <v>109.4</v>
      </c>
      <c r="G48" s="46" t="s">
        <v>304</v>
      </c>
    </row>
    <row r="49" customFormat="false" ht="18" hidden="false" customHeight="true" outlineLevel="0" collapsed="false">
      <c r="A49" s="42" t="s">
        <v>78</v>
      </c>
      <c r="B49" s="43" t="s">
        <v>79</v>
      </c>
      <c r="C49" s="43" t="s">
        <v>230</v>
      </c>
      <c r="D49" s="44" t="n">
        <v>8893.46</v>
      </c>
      <c r="E49" s="42" t="n">
        <v>80</v>
      </c>
      <c r="F49" s="28" t="n">
        <v>111.17</v>
      </c>
      <c r="G49" s="43" t="s">
        <v>304</v>
      </c>
    </row>
    <row r="50" customFormat="false" ht="18" hidden="false" customHeight="true" outlineLevel="0" collapsed="false">
      <c r="A50" s="45" t="s">
        <v>88</v>
      </c>
      <c r="B50" s="46" t="s">
        <v>89</v>
      </c>
      <c r="C50" s="46" t="s">
        <v>280</v>
      </c>
      <c r="D50" s="47" t="n">
        <v>28608.51</v>
      </c>
      <c r="E50" s="45" t="n">
        <v>252</v>
      </c>
      <c r="F50" s="28" t="n">
        <v>113.53</v>
      </c>
      <c r="G50" s="46" t="s">
        <v>304</v>
      </c>
    </row>
    <row r="51" customFormat="false" ht="18" hidden="false" customHeight="true" outlineLevel="0" collapsed="false">
      <c r="A51" s="42" t="s">
        <v>67</v>
      </c>
      <c r="B51" s="43" t="s">
        <v>68</v>
      </c>
      <c r="C51" s="43" t="s">
        <v>131</v>
      </c>
      <c r="D51" s="44" t="n">
        <v>56032.17</v>
      </c>
      <c r="E51" s="42" t="n">
        <v>480</v>
      </c>
      <c r="F51" s="28" t="n">
        <v>116.73</v>
      </c>
      <c r="G51" s="43" t="s">
        <v>304</v>
      </c>
    </row>
    <row r="52" customFormat="false" ht="18" hidden="false" customHeight="true" outlineLevel="0" collapsed="false">
      <c r="A52" s="45" t="s">
        <v>81</v>
      </c>
      <c r="B52" s="46" t="s">
        <v>82</v>
      </c>
      <c r="C52" s="46" t="s">
        <v>256</v>
      </c>
      <c r="D52" s="47" t="n">
        <v>1766.82</v>
      </c>
      <c r="E52" s="45" t="n">
        <v>15</v>
      </c>
      <c r="F52" s="28" t="n">
        <v>117.79</v>
      </c>
      <c r="G52" s="46" t="s">
        <v>304</v>
      </c>
    </row>
    <row r="53" customFormat="false" ht="18" hidden="false" customHeight="true" outlineLevel="0" collapsed="false">
      <c r="A53" s="42" t="s">
        <v>71</v>
      </c>
      <c r="B53" s="43" t="s">
        <v>72</v>
      </c>
      <c r="C53" s="43" t="s">
        <v>183</v>
      </c>
      <c r="D53" s="44" t="n">
        <v>12539.52</v>
      </c>
      <c r="E53" s="42" t="n">
        <v>106</v>
      </c>
      <c r="F53" s="28" t="n">
        <v>118.3</v>
      </c>
      <c r="G53" s="43" t="s">
        <v>304</v>
      </c>
    </row>
    <row r="54" customFormat="false" ht="18" hidden="false" customHeight="true" outlineLevel="0" collapsed="false">
      <c r="A54" s="45" t="s">
        <v>71</v>
      </c>
      <c r="B54" s="46" t="s">
        <v>72</v>
      </c>
      <c r="C54" s="46" t="s">
        <v>191</v>
      </c>
      <c r="D54" s="47" t="n">
        <v>5942.58</v>
      </c>
      <c r="E54" s="45" t="n">
        <v>50</v>
      </c>
      <c r="F54" s="28" t="n">
        <v>118.85</v>
      </c>
      <c r="G54" s="46" t="s">
        <v>304</v>
      </c>
    </row>
    <row r="55" customFormat="false" ht="18" hidden="false" customHeight="true" outlineLevel="0" collapsed="false">
      <c r="A55" s="42" t="s">
        <v>67</v>
      </c>
      <c r="B55" s="43" t="s">
        <v>68</v>
      </c>
      <c r="C55" s="43" t="s">
        <v>135</v>
      </c>
      <c r="D55" s="44" t="n">
        <v>39723.04</v>
      </c>
      <c r="E55" s="42" t="n">
        <v>334</v>
      </c>
      <c r="F55" s="28" t="n">
        <v>118.93</v>
      </c>
      <c r="G55" s="43" t="s">
        <v>304</v>
      </c>
    </row>
    <row r="56" customFormat="false" ht="18" hidden="false" customHeight="true" outlineLevel="0" collapsed="false">
      <c r="A56" s="45" t="s">
        <v>67</v>
      </c>
      <c r="B56" s="46" t="s">
        <v>68</v>
      </c>
      <c r="C56" s="46" t="s">
        <v>129</v>
      </c>
      <c r="D56" s="47" t="n">
        <v>70701.67</v>
      </c>
      <c r="E56" s="45" t="n">
        <v>594</v>
      </c>
      <c r="F56" s="28" t="n">
        <v>119.02</v>
      </c>
      <c r="G56" s="46" t="s">
        <v>304</v>
      </c>
    </row>
    <row r="57" customFormat="false" ht="18" hidden="false" customHeight="true" outlineLevel="0" collapsed="false">
      <c r="A57" s="42" t="s">
        <v>71</v>
      </c>
      <c r="B57" s="43" t="s">
        <v>72</v>
      </c>
      <c r="C57" s="43" t="s">
        <v>164</v>
      </c>
      <c r="D57" s="44" t="n">
        <v>96807.84</v>
      </c>
      <c r="E57" s="42" t="n">
        <v>812</v>
      </c>
      <c r="F57" s="28" t="n">
        <v>119.22</v>
      </c>
      <c r="G57" s="43" t="s">
        <v>304</v>
      </c>
    </row>
    <row r="58" customFormat="false" ht="18" hidden="false" customHeight="true" outlineLevel="0" collapsed="false">
      <c r="A58" s="45" t="s">
        <v>67</v>
      </c>
      <c r="B58" s="46" t="s">
        <v>68</v>
      </c>
      <c r="C58" s="46" t="s">
        <v>144</v>
      </c>
      <c r="D58" s="47" t="n">
        <v>12672.05</v>
      </c>
      <c r="E58" s="45" t="n">
        <v>106</v>
      </c>
      <c r="F58" s="28" t="n">
        <v>119.55</v>
      </c>
      <c r="G58" s="46" t="s">
        <v>304</v>
      </c>
    </row>
    <row r="59" customFormat="false" ht="18" hidden="false" customHeight="true" outlineLevel="0" collapsed="false">
      <c r="A59" s="42" t="s">
        <v>67</v>
      </c>
      <c r="B59" s="43" t="s">
        <v>68</v>
      </c>
      <c r="C59" s="43" t="s">
        <v>140</v>
      </c>
      <c r="D59" s="44" t="n">
        <v>27649.68</v>
      </c>
      <c r="E59" s="42" t="n">
        <v>229</v>
      </c>
      <c r="F59" s="28" t="n">
        <v>120.74</v>
      </c>
      <c r="G59" s="43" t="s">
        <v>304</v>
      </c>
    </row>
    <row r="60" customFormat="false" ht="18" hidden="false" customHeight="true" outlineLevel="0" collapsed="false">
      <c r="A60" s="45" t="s">
        <v>81</v>
      </c>
      <c r="B60" s="46" t="s">
        <v>82</v>
      </c>
      <c r="C60" s="46" t="s">
        <v>241</v>
      </c>
      <c r="D60" s="47" t="n">
        <v>26109.05</v>
      </c>
      <c r="E60" s="45" t="n">
        <v>215</v>
      </c>
      <c r="F60" s="28" t="n">
        <v>121.44</v>
      </c>
      <c r="G60" s="46" t="s">
        <v>304</v>
      </c>
    </row>
    <row r="61" customFormat="false" ht="18" hidden="false" customHeight="true" outlineLevel="0" collapsed="false">
      <c r="A61" s="42" t="s">
        <v>67</v>
      </c>
      <c r="B61" s="43" t="s">
        <v>68</v>
      </c>
      <c r="C61" s="43" t="s">
        <v>137</v>
      </c>
      <c r="D61" s="44" t="n">
        <v>30596.16</v>
      </c>
      <c r="E61" s="42" t="n">
        <v>246</v>
      </c>
      <c r="F61" s="28" t="n">
        <v>124.37</v>
      </c>
      <c r="G61" s="43" t="s">
        <v>304</v>
      </c>
    </row>
    <row r="62" customFormat="false" ht="18" hidden="false" customHeight="true" outlineLevel="0" collapsed="false">
      <c r="A62" s="45" t="s">
        <v>67</v>
      </c>
      <c r="B62" s="46" t="s">
        <v>68</v>
      </c>
      <c r="C62" s="46" t="s">
        <v>138</v>
      </c>
      <c r="D62" s="47" t="n">
        <v>30514.14</v>
      </c>
      <c r="E62" s="45" t="n">
        <v>244</v>
      </c>
      <c r="F62" s="28" t="n">
        <v>125.06</v>
      </c>
      <c r="G62" s="46" t="s">
        <v>304</v>
      </c>
    </row>
    <row r="63" customFormat="false" ht="18" hidden="false" customHeight="true" outlineLevel="0" collapsed="false">
      <c r="A63" s="42" t="s">
        <v>67</v>
      </c>
      <c r="B63" s="43" t="s">
        <v>68</v>
      </c>
      <c r="C63" s="43" t="s">
        <v>134</v>
      </c>
      <c r="D63" s="44" t="n">
        <v>41443.73</v>
      </c>
      <c r="E63" s="42" t="n">
        <v>330</v>
      </c>
      <c r="F63" s="28" t="n">
        <v>125.59</v>
      </c>
      <c r="G63" s="43" t="s">
        <v>304</v>
      </c>
    </row>
    <row r="64" customFormat="false" ht="18" hidden="false" customHeight="true" outlineLevel="0" collapsed="false">
      <c r="A64" s="45" t="s">
        <v>81</v>
      </c>
      <c r="B64" s="46" t="s">
        <v>82</v>
      </c>
      <c r="C64" s="46" t="s">
        <v>254</v>
      </c>
      <c r="D64" s="47" t="n">
        <v>3333.69</v>
      </c>
      <c r="E64" s="45" t="n">
        <v>26</v>
      </c>
      <c r="F64" s="28" t="n">
        <v>128.22</v>
      </c>
      <c r="G64" s="46" t="s">
        <v>304</v>
      </c>
    </row>
    <row r="65" customFormat="false" ht="18" hidden="false" customHeight="true" outlineLevel="0" collapsed="false">
      <c r="A65" s="42" t="s">
        <v>67</v>
      </c>
      <c r="B65" s="43" t="s">
        <v>68</v>
      </c>
      <c r="C65" s="43" t="s">
        <v>147</v>
      </c>
      <c r="D65" s="44" t="n">
        <v>8763.29</v>
      </c>
      <c r="E65" s="42" t="n">
        <v>68</v>
      </c>
      <c r="F65" s="28" t="n">
        <v>128.87</v>
      </c>
      <c r="G65" s="43" t="s">
        <v>304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20"/>
  </cols>
  <sheetData>
    <row r="2" customFormat="false" ht="34.5" hidden="false" customHeight="true" outlineLevel="0" collapsed="false">
      <c r="A2" s="48" t="s">
        <v>308</v>
      </c>
      <c r="B2" s="48"/>
      <c r="C2" s="48"/>
      <c r="D2" s="48"/>
      <c r="E2" s="48"/>
      <c r="F2" s="48"/>
      <c r="G2" s="48"/>
      <c r="H2" s="48"/>
    </row>
    <row r="4" customFormat="false" ht="15" hidden="false" customHeight="false" outlineLevel="0" collapsed="false">
      <c r="A4" s="49" t="s">
        <v>97</v>
      </c>
      <c r="B4" s="49" t="s">
        <v>52</v>
      </c>
      <c r="C4" s="49" t="s">
        <v>98</v>
      </c>
      <c r="D4" s="49" t="s">
        <v>309</v>
      </c>
      <c r="E4" s="49" t="s">
        <v>99</v>
      </c>
      <c r="F4" s="49" t="s">
        <v>100</v>
      </c>
      <c r="G4" s="49" t="s">
        <v>310</v>
      </c>
      <c r="H4" s="49" t="s">
        <v>311</v>
      </c>
    </row>
    <row r="5" customFormat="false" ht="19.5" hidden="false" customHeight="true" outlineLevel="0" collapsed="false">
      <c r="A5" s="50" t="s">
        <v>58</v>
      </c>
      <c r="B5" s="51" t="s">
        <v>59</v>
      </c>
      <c r="C5" s="51" t="s">
        <v>104</v>
      </c>
      <c r="D5" s="52" t="n">
        <v>31034.74</v>
      </c>
      <c r="E5" s="50" t="n">
        <v>0</v>
      </c>
      <c r="F5" s="50" t="s">
        <v>312</v>
      </c>
      <c r="G5" s="51" t="s">
        <v>313</v>
      </c>
      <c r="H5" s="51" t="s">
        <v>314</v>
      </c>
    </row>
    <row r="6" customFormat="false" ht="19.5" hidden="false" customHeight="true" outlineLevel="0" collapsed="false">
      <c r="A6" s="53" t="s">
        <v>58</v>
      </c>
      <c r="B6" s="54" t="s">
        <v>59</v>
      </c>
      <c r="C6" s="54" t="s">
        <v>102</v>
      </c>
      <c r="D6" s="55" t="n">
        <v>31814.49</v>
      </c>
      <c r="E6" s="53" t="n">
        <v>0</v>
      </c>
      <c r="F6" s="53" t="s">
        <v>312</v>
      </c>
      <c r="G6" s="54" t="s">
        <v>313</v>
      </c>
      <c r="H6" s="54" t="s">
        <v>314</v>
      </c>
    </row>
    <row r="7" customFormat="false" ht="19.5" hidden="false" customHeight="true" outlineLevel="0" collapsed="false">
      <c r="A7" s="50" t="s">
        <v>81</v>
      </c>
      <c r="B7" s="51" t="s">
        <v>82</v>
      </c>
      <c r="C7" s="51" t="s">
        <v>253</v>
      </c>
      <c r="D7" s="52" t="n">
        <v>3909.41</v>
      </c>
      <c r="E7" s="50" t="n">
        <v>1</v>
      </c>
      <c r="F7" s="50" t="s">
        <v>315</v>
      </c>
      <c r="G7" s="51" t="s">
        <v>316</v>
      </c>
      <c r="H7" s="56" t="s">
        <v>317</v>
      </c>
    </row>
    <row r="8" customFormat="false" ht="19.5" hidden="false" customHeight="true" outlineLevel="0" collapsed="false">
      <c r="A8" s="53" t="s">
        <v>58</v>
      </c>
      <c r="B8" s="54" t="s">
        <v>59</v>
      </c>
      <c r="C8" s="54" t="s">
        <v>105</v>
      </c>
      <c r="D8" s="55" t="n">
        <v>3210.17</v>
      </c>
      <c r="E8" s="53" t="n">
        <v>4</v>
      </c>
      <c r="F8" s="53" t="s">
        <v>318</v>
      </c>
      <c r="G8" s="54" t="s">
        <v>313</v>
      </c>
      <c r="H8" s="54" t="s">
        <v>314</v>
      </c>
    </row>
    <row r="9" customFormat="false" ht="19.5" hidden="false" customHeight="true" outlineLevel="0" collapsed="false">
      <c r="A9" s="50" t="s">
        <v>75</v>
      </c>
      <c r="B9" s="51" t="s">
        <v>199</v>
      </c>
      <c r="C9" s="51" t="s">
        <v>215</v>
      </c>
      <c r="D9" s="52" t="n">
        <v>2922.06</v>
      </c>
      <c r="E9" s="50" t="n">
        <v>5</v>
      </c>
      <c r="F9" s="50" t="s">
        <v>319</v>
      </c>
      <c r="G9" s="51" t="s">
        <v>320</v>
      </c>
      <c r="H9" s="56" t="s">
        <v>321</v>
      </c>
    </row>
    <row r="10" customFormat="false" ht="19.5" hidden="false" customHeight="true" outlineLevel="0" collapsed="false">
      <c r="A10" s="53" t="s">
        <v>75</v>
      </c>
      <c r="B10" s="54" t="s">
        <v>199</v>
      </c>
      <c r="C10" s="54" t="s">
        <v>216</v>
      </c>
      <c r="D10" s="55" t="n">
        <v>1605.81</v>
      </c>
      <c r="E10" s="53" t="n">
        <v>3</v>
      </c>
      <c r="F10" s="53" t="s">
        <v>322</v>
      </c>
      <c r="G10" s="54" t="s">
        <v>323</v>
      </c>
      <c r="H10" s="57" t="s">
        <v>321</v>
      </c>
    </row>
    <row r="11" customFormat="false" ht="19.5" hidden="false" customHeight="true" outlineLevel="0" collapsed="false">
      <c r="A11" s="50" t="s">
        <v>85</v>
      </c>
      <c r="B11" s="51" t="s">
        <v>86</v>
      </c>
      <c r="C11" s="51" t="s">
        <v>265</v>
      </c>
      <c r="D11" s="52" t="n">
        <v>15700</v>
      </c>
      <c r="E11" s="50" t="n">
        <v>32</v>
      </c>
      <c r="F11" s="50" t="s">
        <v>324</v>
      </c>
      <c r="G11" s="51" t="s">
        <v>313</v>
      </c>
      <c r="H11" s="51" t="s">
        <v>314</v>
      </c>
    </row>
    <row r="12" customFormat="false" ht="19.5" hidden="false" customHeight="true" outlineLevel="0" collapsed="false">
      <c r="A12" s="53" t="s">
        <v>71</v>
      </c>
      <c r="B12" s="54" t="s">
        <v>72</v>
      </c>
      <c r="C12" s="54" t="s">
        <v>194</v>
      </c>
      <c r="D12" s="55" t="n">
        <v>3407.62</v>
      </c>
      <c r="E12" s="53" t="n">
        <v>7</v>
      </c>
      <c r="F12" s="53" t="s">
        <v>325</v>
      </c>
      <c r="G12" s="54" t="s">
        <v>326</v>
      </c>
      <c r="H12" s="57" t="s">
        <v>321</v>
      </c>
    </row>
    <row r="13" customFormat="false" ht="19.5" hidden="false" customHeight="true" outlineLevel="0" collapsed="false">
      <c r="A13" s="50" t="s">
        <v>81</v>
      </c>
      <c r="B13" s="51" t="s">
        <v>82</v>
      </c>
      <c r="C13" s="51" t="s">
        <v>244</v>
      </c>
      <c r="D13" s="52" t="n">
        <v>13189.55</v>
      </c>
      <c r="E13" s="50" t="n">
        <v>31</v>
      </c>
      <c r="F13" s="50" t="s">
        <v>327</v>
      </c>
      <c r="G13" s="51" t="s">
        <v>328</v>
      </c>
      <c r="H13" s="56" t="s">
        <v>321</v>
      </c>
    </row>
    <row r="14" customFormat="false" ht="19.5" hidden="false" customHeight="true" outlineLevel="0" collapsed="false">
      <c r="A14" s="53" t="s">
        <v>81</v>
      </c>
      <c r="B14" s="54" t="s">
        <v>82</v>
      </c>
      <c r="C14" s="54" t="s">
        <v>245</v>
      </c>
      <c r="D14" s="55" t="n">
        <v>13041.71</v>
      </c>
      <c r="E14" s="53" t="n">
        <v>31</v>
      </c>
      <c r="F14" s="53" t="s">
        <v>329</v>
      </c>
      <c r="G14" s="54" t="s">
        <v>330</v>
      </c>
      <c r="H14" s="57" t="s">
        <v>321</v>
      </c>
    </row>
    <row r="15" customFormat="false" ht="19.5" hidden="false" customHeight="true" outlineLevel="0" collapsed="false">
      <c r="A15" s="50" t="s">
        <v>78</v>
      </c>
      <c r="B15" s="51" t="s">
        <v>79</v>
      </c>
      <c r="C15" s="51" t="s">
        <v>228</v>
      </c>
      <c r="D15" s="52" t="n">
        <v>15168.55</v>
      </c>
      <c r="E15" s="50" t="n">
        <v>37</v>
      </c>
      <c r="F15" s="50" t="s">
        <v>331</v>
      </c>
      <c r="G15" s="51" t="s">
        <v>313</v>
      </c>
      <c r="H15" s="51" t="s">
        <v>314</v>
      </c>
    </row>
    <row r="16" customFormat="false" ht="19.5" hidden="false" customHeight="true" outlineLevel="0" collapsed="false">
      <c r="A16" s="53" t="s">
        <v>78</v>
      </c>
      <c r="B16" s="54" t="s">
        <v>79</v>
      </c>
      <c r="C16" s="54" t="s">
        <v>231</v>
      </c>
      <c r="D16" s="55" t="n">
        <v>8000</v>
      </c>
      <c r="E16" s="53" t="n">
        <v>20</v>
      </c>
      <c r="F16" s="53" t="s">
        <v>332</v>
      </c>
      <c r="G16" s="54" t="s">
        <v>313</v>
      </c>
      <c r="H16" s="54" t="s">
        <v>314</v>
      </c>
    </row>
    <row r="17" customFormat="false" ht="19.5" hidden="false" customHeight="true" outlineLevel="0" collapsed="false">
      <c r="A17" s="50" t="s">
        <v>67</v>
      </c>
      <c r="B17" s="51" t="s">
        <v>68</v>
      </c>
      <c r="C17" s="51" t="s">
        <v>159</v>
      </c>
      <c r="D17" s="52" t="n">
        <v>728.69</v>
      </c>
      <c r="E17" s="50" t="n">
        <v>2</v>
      </c>
      <c r="F17" s="50" t="s">
        <v>333</v>
      </c>
      <c r="G17" s="51" t="s">
        <v>334</v>
      </c>
      <c r="H17" s="56" t="s">
        <v>321</v>
      </c>
    </row>
    <row r="18" customFormat="false" ht="19.5" hidden="false" customHeight="true" outlineLevel="0" collapsed="false">
      <c r="A18" s="53" t="s">
        <v>63</v>
      </c>
      <c r="B18" s="54" t="s">
        <v>64</v>
      </c>
      <c r="C18" s="54" t="s">
        <v>117</v>
      </c>
      <c r="D18" s="55" t="n">
        <v>353.87</v>
      </c>
      <c r="E18" s="53" t="n">
        <v>1</v>
      </c>
      <c r="F18" s="53" t="s">
        <v>335</v>
      </c>
      <c r="G18" s="54" t="s">
        <v>313</v>
      </c>
      <c r="H18" s="54" t="s">
        <v>314</v>
      </c>
    </row>
    <row r="19" customFormat="false" ht="19.5" hidden="false" customHeight="true" outlineLevel="0" collapsed="false">
      <c r="A19" s="50" t="s">
        <v>63</v>
      </c>
      <c r="B19" s="51" t="s">
        <v>64</v>
      </c>
      <c r="C19" s="51" t="s">
        <v>118</v>
      </c>
      <c r="D19" s="52" t="n">
        <v>351.78</v>
      </c>
      <c r="E19" s="50" t="n">
        <v>1</v>
      </c>
      <c r="F19" s="50" t="s">
        <v>336</v>
      </c>
      <c r="G19" s="51" t="s">
        <v>313</v>
      </c>
      <c r="H19" s="51" t="s">
        <v>314</v>
      </c>
    </row>
    <row r="20" customFormat="false" ht="19.5" hidden="false" customHeight="true" outlineLevel="0" collapsed="false">
      <c r="A20" s="53" t="s">
        <v>75</v>
      </c>
      <c r="B20" s="54" t="s">
        <v>199</v>
      </c>
      <c r="C20" s="54" t="s">
        <v>213</v>
      </c>
      <c r="D20" s="55" t="n">
        <v>4916.82</v>
      </c>
      <c r="E20" s="53" t="n">
        <v>14</v>
      </c>
      <c r="F20" s="53" t="s">
        <v>337</v>
      </c>
      <c r="G20" s="54" t="s">
        <v>338</v>
      </c>
      <c r="H20" s="57" t="s">
        <v>321</v>
      </c>
    </row>
    <row r="21" customFormat="false" ht="19.5" hidden="false" customHeight="true" outlineLevel="0" collapsed="false">
      <c r="A21" s="50" t="s">
        <v>71</v>
      </c>
      <c r="B21" s="51" t="s">
        <v>72</v>
      </c>
      <c r="C21" s="51" t="s">
        <v>195</v>
      </c>
      <c r="D21" s="52" t="n">
        <v>3285.41</v>
      </c>
      <c r="E21" s="50" t="n">
        <v>10</v>
      </c>
      <c r="F21" s="50" t="s">
        <v>339</v>
      </c>
      <c r="G21" s="51" t="s">
        <v>313</v>
      </c>
      <c r="H21" s="51" t="s">
        <v>314</v>
      </c>
    </row>
    <row r="22" customFormat="false" ht="19.5" hidden="false" customHeight="true" outlineLevel="0" collapsed="false">
      <c r="A22" s="53" t="s">
        <v>75</v>
      </c>
      <c r="B22" s="54" t="s">
        <v>199</v>
      </c>
      <c r="C22" s="54" t="s">
        <v>209</v>
      </c>
      <c r="D22" s="55" t="n">
        <v>10540.11</v>
      </c>
      <c r="E22" s="53" t="n">
        <v>33</v>
      </c>
      <c r="F22" s="53" t="s">
        <v>340</v>
      </c>
      <c r="G22" s="54" t="s">
        <v>341</v>
      </c>
      <c r="H22" s="58" t="s">
        <v>342</v>
      </c>
    </row>
    <row r="23" customFormat="false" ht="19.5" hidden="false" customHeight="true" outlineLevel="0" collapsed="false">
      <c r="A23" s="50" t="s">
        <v>75</v>
      </c>
      <c r="B23" s="51" t="s">
        <v>199</v>
      </c>
      <c r="C23" s="51" t="s">
        <v>212</v>
      </c>
      <c r="D23" s="52" t="n">
        <v>4981.85</v>
      </c>
      <c r="E23" s="50" t="n">
        <v>16</v>
      </c>
      <c r="F23" s="50" t="s">
        <v>343</v>
      </c>
      <c r="G23" s="51" t="s">
        <v>344</v>
      </c>
      <c r="H23" s="51" t="s">
        <v>345</v>
      </c>
    </row>
    <row r="24" customFormat="false" ht="19.5" hidden="false" customHeight="true" outlineLevel="0" collapsed="false">
      <c r="A24" s="53" t="s">
        <v>67</v>
      </c>
      <c r="B24" s="54" t="s">
        <v>68</v>
      </c>
      <c r="C24" s="54" t="s">
        <v>154</v>
      </c>
      <c r="D24" s="55" t="n">
        <v>5896.45</v>
      </c>
      <c r="E24" s="53" t="n">
        <v>19</v>
      </c>
      <c r="F24" s="53" t="s">
        <v>346</v>
      </c>
      <c r="G24" s="54" t="s">
        <v>347</v>
      </c>
      <c r="H24" s="57" t="s">
        <v>321</v>
      </c>
    </row>
    <row r="25" customFormat="false" ht="19.5" hidden="false" customHeight="true" outlineLevel="0" collapsed="false">
      <c r="A25" s="50" t="s">
        <v>75</v>
      </c>
      <c r="B25" s="51" t="s">
        <v>199</v>
      </c>
      <c r="C25" s="51" t="s">
        <v>207</v>
      </c>
      <c r="D25" s="52" t="n">
        <v>28390.87</v>
      </c>
      <c r="E25" s="50" t="n">
        <v>92</v>
      </c>
      <c r="F25" s="50" t="s">
        <v>348</v>
      </c>
      <c r="G25" s="51" t="s">
        <v>313</v>
      </c>
      <c r="H25" s="51" t="s">
        <v>314</v>
      </c>
    </row>
    <row r="26" customFormat="false" ht="19.5" hidden="false" customHeight="true" outlineLevel="0" collapsed="false">
      <c r="A26" s="53" t="s">
        <v>75</v>
      </c>
      <c r="B26" s="54" t="s">
        <v>199</v>
      </c>
      <c r="C26" s="54" t="s">
        <v>211</v>
      </c>
      <c r="D26" s="55" t="n">
        <v>5248.7</v>
      </c>
      <c r="E26" s="53" t="n">
        <v>18</v>
      </c>
      <c r="F26" s="53" t="s">
        <v>349</v>
      </c>
      <c r="G26" s="54" t="s">
        <v>313</v>
      </c>
      <c r="H26" s="54" t="s">
        <v>314</v>
      </c>
    </row>
    <row r="27" customFormat="false" ht="19.5" hidden="false" customHeight="true" outlineLevel="0" collapsed="false">
      <c r="A27" s="50" t="s">
        <v>67</v>
      </c>
      <c r="B27" s="51" t="s">
        <v>68</v>
      </c>
      <c r="C27" s="51" t="s">
        <v>158</v>
      </c>
      <c r="D27" s="52" t="n">
        <v>1682.68</v>
      </c>
      <c r="E27" s="50" t="n">
        <v>6</v>
      </c>
      <c r="F27" s="50" t="s">
        <v>350</v>
      </c>
      <c r="G27" s="51" t="s">
        <v>313</v>
      </c>
      <c r="H27" s="51" t="s">
        <v>314</v>
      </c>
    </row>
    <row r="28" customFormat="false" ht="19.5" hidden="false" customHeight="true" outlineLevel="0" collapsed="false">
      <c r="A28" s="53" t="s">
        <v>67</v>
      </c>
      <c r="B28" s="54" t="s">
        <v>68</v>
      </c>
      <c r="C28" s="54" t="s">
        <v>148</v>
      </c>
      <c r="D28" s="55" t="n">
        <v>8221.04</v>
      </c>
      <c r="E28" s="53" t="n">
        <v>31</v>
      </c>
      <c r="F28" s="53" t="s">
        <v>351</v>
      </c>
      <c r="G28" s="54" t="s">
        <v>313</v>
      </c>
      <c r="H28" s="54" t="s">
        <v>314</v>
      </c>
    </row>
    <row r="29" customFormat="false" ht="19.5" hidden="false" customHeight="true" outlineLevel="0" collapsed="false">
      <c r="A29" s="50" t="s">
        <v>71</v>
      </c>
      <c r="B29" s="51" t="s">
        <v>72</v>
      </c>
      <c r="C29" s="51" t="s">
        <v>185</v>
      </c>
      <c r="D29" s="52" t="n">
        <v>8835.54</v>
      </c>
      <c r="E29" s="50" t="n">
        <v>35</v>
      </c>
      <c r="F29" s="50" t="s">
        <v>352</v>
      </c>
      <c r="G29" s="51" t="s">
        <v>313</v>
      </c>
      <c r="H29" s="51" t="s">
        <v>314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18"/>
  </cols>
  <sheetData>
    <row r="2" customFormat="false" ht="37.5" hidden="false" customHeight="true" outlineLevel="0" collapsed="false">
      <c r="B2" s="20" t="s">
        <v>353</v>
      </c>
      <c r="C2" s="20"/>
      <c r="D2" s="20"/>
      <c r="E2" s="20"/>
      <c r="F2" s="20"/>
    </row>
    <row r="4" customFormat="false" ht="19.5" hidden="false" customHeight="true" outlineLevel="0" collapsed="false">
      <c r="B4" s="8" t="s">
        <v>354</v>
      </c>
      <c r="C4" s="8" t="s">
        <v>355</v>
      </c>
      <c r="D4" s="8" t="s">
        <v>356</v>
      </c>
      <c r="E4" s="8" t="s">
        <v>357</v>
      </c>
      <c r="F4" s="8" t="s">
        <v>358</v>
      </c>
      <c r="G4" s="8" t="s">
        <v>359</v>
      </c>
    </row>
    <row r="5" customFormat="false" ht="42" hidden="false" customHeight="true" outlineLevel="0" collapsed="false">
      <c r="B5" s="59" t="s">
        <v>360</v>
      </c>
      <c r="C5" s="60" t="s">
        <v>361</v>
      </c>
      <c r="D5" s="61" t="s">
        <v>362</v>
      </c>
      <c r="E5" s="62" t="s">
        <v>363</v>
      </c>
      <c r="F5" s="63" t="s">
        <v>364</v>
      </c>
      <c r="G5" s="64" t="s">
        <v>365</v>
      </c>
    </row>
    <row r="6" customFormat="false" ht="42" hidden="false" customHeight="true" outlineLevel="0" collapsed="false">
      <c r="B6" s="65" t="s">
        <v>366</v>
      </c>
      <c r="C6" s="60" t="s">
        <v>361</v>
      </c>
      <c r="D6" s="66" t="s">
        <v>367</v>
      </c>
      <c r="E6" s="67" t="s">
        <v>368</v>
      </c>
      <c r="F6" s="68" t="s">
        <v>369</v>
      </c>
      <c r="G6" s="64" t="s">
        <v>365</v>
      </c>
    </row>
    <row r="7" customFormat="false" ht="42" hidden="false" customHeight="true" outlineLevel="0" collapsed="false">
      <c r="B7" s="59" t="s">
        <v>370</v>
      </c>
      <c r="C7" s="60" t="s">
        <v>361</v>
      </c>
      <c r="D7" s="61" t="s">
        <v>371</v>
      </c>
      <c r="E7" s="62" t="s">
        <v>372</v>
      </c>
      <c r="F7" s="63" t="s">
        <v>373</v>
      </c>
      <c r="G7" s="64" t="s">
        <v>365</v>
      </c>
    </row>
    <row r="8" customFormat="false" ht="42" hidden="false" customHeight="true" outlineLevel="0" collapsed="false">
      <c r="B8" s="65" t="s">
        <v>374</v>
      </c>
      <c r="C8" s="60" t="s">
        <v>361</v>
      </c>
      <c r="D8" s="66" t="s">
        <v>375</v>
      </c>
      <c r="E8" s="67" t="s">
        <v>376</v>
      </c>
      <c r="F8" s="68" t="s">
        <v>377</v>
      </c>
      <c r="G8" s="64" t="s">
        <v>365</v>
      </c>
    </row>
    <row r="9" customFormat="false" ht="42" hidden="false" customHeight="true" outlineLevel="0" collapsed="false">
      <c r="B9" s="59" t="s">
        <v>378</v>
      </c>
      <c r="C9" s="69" t="s">
        <v>379</v>
      </c>
      <c r="D9" s="61" t="s">
        <v>380</v>
      </c>
      <c r="E9" s="62" t="s">
        <v>381</v>
      </c>
      <c r="F9" s="63" t="s">
        <v>382</v>
      </c>
      <c r="G9" s="70" t="s">
        <v>383</v>
      </c>
    </row>
    <row r="10" customFormat="false" ht="42" hidden="false" customHeight="true" outlineLevel="0" collapsed="false">
      <c r="B10" s="65" t="s">
        <v>384</v>
      </c>
      <c r="C10" s="69" t="s">
        <v>379</v>
      </c>
      <c r="D10" s="66" t="s">
        <v>385</v>
      </c>
      <c r="E10" s="67" t="s">
        <v>386</v>
      </c>
      <c r="F10" s="68" t="s">
        <v>387</v>
      </c>
      <c r="G10" s="70" t="s">
        <v>383</v>
      </c>
    </row>
    <row r="11" customFormat="false" ht="42" hidden="false" customHeight="true" outlineLevel="0" collapsed="false">
      <c r="B11" s="59" t="s">
        <v>388</v>
      </c>
      <c r="C11" s="69" t="s">
        <v>379</v>
      </c>
      <c r="D11" s="61" t="s">
        <v>389</v>
      </c>
      <c r="E11" s="62" t="s">
        <v>390</v>
      </c>
      <c r="F11" s="63" t="s">
        <v>391</v>
      </c>
      <c r="G11" s="70" t="s">
        <v>392</v>
      </c>
    </row>
    <row r="12" customFormat="false" ht="42" hidden="false" customHeight="true" outlineLevel="0" collapsed="false">
      <c r="B12" s="65" t="s">
        <v>393</v>
      </c>
      <c r="C12" s="69" t="s">
        <v>379</v>
      </c>
      <c r="D12" s="66" t="s">
        <v>394</v>
      </c>
      <c r="E12" s="67" t="s">
        <v>395</v>
      </c>
      <c r="F12" s="68" t="s">
        <v>396</v>
      </c>
      <c r="G12" s="70" t="s">
        <v>392</v>
      </c>
    </row>
    <row r="13" customFormat="false" ht="42" hidden="false" customHeight="true" outlineLevel="0" collapsed="false">
      <c r="B13" s="59" t="s">
        <v>397</v>
      </c>
      <c r="C13" s="69" t="s">
        <v>379</v>
      </c>
      <c r="D13" s="61" t="s">
        <v>398</v>
      </c>
      <c r="E13" s="62" t="s">
        <v>399</v>
      </c>
      <c r="F13" s="63" t="s">
        <v>400</v>
      </c>
      <c r="G13" s="63" t="s">
        <v>321</v>
      </c>
    </row>
    <row r="14" customFormat="false" ht="42" hidden="false" customHeight="true" outlineLevel="0" collapsed="false">
      <c r="B14" s="65" t="s">
        <v>401</v>
      </c>
      <c r="C14" s="71" t="s">
        <v>402</v>
      </c>
      <c r="D14" s="66" t="s">
        <v>403</v>
      </c>
      <c r="E14" s="67" t="s">
        <v>404</v>
      </c>
      <c r="F14" s="68" t="s">
        <v>405</v>
      </c>
      <c r="G14" s="72" t="s">
        <v>406</v>
      </c>
    </row>
    <row r="15" customFormat="false" ht="42" hidden="false" customHeight="true" outlineLevel="0" collapsed="false">
      <c r="B15" s="59" t="s">
        <v>407</v>
      </c>
      <c r="C15" s="71" t="s">
        <v>402</v>
      </c>
      <c r="D15" s="61" t="s">
        <v>408</v>
      </c>
      <c r="E15" s="62" t="s">
        <v>409</v>
      </c>
      <c r="F15" s="63" t="s">
        <v>410</v>
      </c>
      <c r="G15" s="72" t="s">
        <v>406</v>
      </c>
    </row>
    <row r="16" customFormat="false" ht="42" hidden="false" customHeight="true" outlineLevel="0" collapsed="false">
      <c r="B16" s="65" t="s">
        <v>411</v>
      </c>
      <c r="C16" s="71" t="s">
        <v>402</v>
      </c>
      <c r="D16" s="66" t="s">
        <v>412</v>
      </c>
      <c r="E16" s="67" t="s">
        <v>413</v>
      </c>
      <c r="F16" s="68" t="s">
        <v>414</v>
      </c>
      <c r="G16" s="72" t="s">
        <v>415</v>
      </c>
    </row>
    <row r="17" customFormat="false" ht="42" hidden="false" customHeight="true" outlineLevel="0" collapsed="false">
      <c r="B17" s="59" t="s">
        <v>416</v>
      </c>
      <c r="C17" s="73" t="s">
        <v>417</v>
      </c>
      <c r="D17" s="61" t="s">
        <v>418</v>
      </c>
      <c r="E17" s="62" t="s">
        <v>419</v>
      </c>
      <c r="F17" s="63" t="s">
        <v>420</v>
      </c>
      <c r="G17" s="63" t="s">
        <v>421</v>
      </c>
    </row>
    <row r="18" customFormat="false" ht="42" hidden="false" customHeight="true" outlineLevel="0" collapsed="false">
      <c r="B18" s="65" t="s">
        <v>422</v>
      </c>
      <c r="C18" s="73" t="s">
        <v>417</v>
      </c>
      <c r="D18" s="66" t="s">
        <v>423</v>
      </c>
      <c r="E18" s="67" t="s">
        <v>424</v>
      </c>
      <c r="F18" s="68" t="s">
        <v>420</v>
      </c>
      <c r="G18" s="68" t="s">
        <v>421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34.5" hidden="false" customHeight="true" outlineLevel="0" collapsed="false">
      <c r="A1" s="74" t="s">
        <v>425</v>
      </c>
      <c r="B1" s="74"/>
      <c r="C1" s="74"/>
      <c r="D1" s="74"/>
      <c r="E1" s="74"/>
    </row>
    <row r="2" customFormat="false" ht="19.5" hidden="false" customHeight="true" outlineLevel="0" collapsed="false">
      <c r="A2" s="75" t="s">
        <v>426</v>
      </c>
      <c r="B2" s="75" t="s">
        <v>427</v>
      </c>
      <c r="C2" s="75" t="s">
        <v>55</v>
      </c>
      <c r="D2" s="75" t="s">
        <v>56</v>
      </c>
      <c r="E2" s="75" t="s">
        <v>428</v>
      </c>
    </row>
    <row r="3" customFormat="false" ht="19.5" hidden="false" customHeight="true" outlineLevel="0" collapsed="false">
      <c r="A3" s="35" t="s">
        <v>429</v>
      </c>
      <c r="B3" s="34" t="s">
        <v>430</v>
      </c>
      <c r="C3" s="34" t="s">
        <v>431</v>
      </c>
      <c r="D3" s="34" t="s">
        <v>432</v>
      </c>
      <c r="E3" s="76" t="s">
        <v>433</v>
      </c>
    </row>
    <row r="4" customFormat="false" ht="19.5" hidden="false" customHeight="true" outlineLevel="0" collapsed="false">
      <c r="A4" s="32" t="s">
        <v>434</v>
      </c>
      <c r="B4" s="31" t="s">
        <v>435</v>
      </c>
      <c r="C4" s="31" t="s">
        <v>436</v>
      </c>
      <c r="D4" s="31" t="s">
        <v>437</v>
      </c>
      <c r="E4" s="76" t="s">
        <v>438</v>
      </c>
    </row>
    <row r="5" customFormat="false" ht="19.5" hidden="false" customHeight="true" outlineLevel="0" collapsed="false">
      <c r="A5" s="35" t="s">
        <v>439</v>
      </c>
      <c r="B5" s="34" t="s">
        <v>440</v>
      </c>
      <c r="C5" s="34" t="s">
        <v>441</v>
      </c>
      <c r="D5" s="34" t="s">
        <v>442</v>
      </c>
      <c r="E5" s="76" t="s">
        <v>438</v>
      </c>
    </row>
    <row r="6" customFormat="false" ht="19.5" hidden="false" customHeight="true" outlineLevel="0" collapsed="false">
      <c r="A6" s="32" t="s">
        <v>443</v>
      </c>
      <c r="B6" s="31" t="s">
        <v>444</v>
      </c>
      <c r="C6" s="31" t="s">
        <v>445</v>
      </c>
      <c r="D6" s="31" t="s">
        <v>446</v>
      </c>
      <c r="E6" s="76" t="s">
        <v>447</v>
      </c>
    </row>
    <row r="7" customFormat="false" ht="19.5" hidden="false" customHeight="true" outlineLevel="0" collapsed="false">
      <c r="A7" s="35" t="s">
        <v>448</v>
      </c>
      <c r="B7" s="34" t="s">
        <v>449</v>
      </c>
      <c r="C7" s="34" t="s">
        <v>450</v>
      </c>
      <c r="D7" s="34" t="s">
        <v>451</v>
      </c>
      <c r="E7" s="77" t="s">
        <v>452</v>
      </c>
    </row>
    <row r="8" customFormat="false" ht="19.5" hidden="false" customHeight="true" outlineLevel="0" collapsed="false">
      <c r="A8" s="32" t="s">
        <v>453</v>
      </c>
      <c r="B8" s="31" t="s">
        <v>454</v>
      </c>
      <c r="C8" s="31" t="s">
        <v>455</v>
      </c>
      <c r="D8" s="31" t="s">
        <v>456</v>
      </c>
      <c r="E8" s="76" t="s">
        <v>457</v>
      </c>
    </row>
    <row r="9" customFormat="false" ht="19.5" hidden="false" customHeight="true" outlineLevel="0" collapsed="false">
      <c r="A9" s="35" t="s">
        <v>458</v>
      </c>
      <c r="B9" s="34" t="s">
        <v>459</v>
      </c>
      <c r="C9" s="34" t="s">
        <v>460</v>
      </c>
      <c r="D9" s="34" t="s">
        <v>461</v>
      </c>
      <c r="E9" s="76" t="s">
        <v>462</v>
      </c>
    </row>
    <row r="10" customFormat="false" ht="19.5" hidden="false" customHeight="true" outlineLevel="0" collapsed="false">
      <c r="A10" s="32" t="s">
        <v>463</v>
      </c>
      <c r="B10" s="31" t="s">
        <v>464</v>
      </c>
      <c r="C10" s="31" t="s">
        <v>465</v>
      </c>
      <c r="D10" s="31" t="s">
        <v>466</v>
      </c>
      <c r="E10" s="76" t="s">
        <v>467</v>
      </c>
    </row>
    <row r="11" customFormat="false" ht="19.5" hidden="false" customHeight="true" outlineLevel="0" collapsed="false">
      <c r="A11" s="35" t="s">
        <v>468</v>
      </c>
      <c r="B11" s="34" t="s">
        <v>469</v>
      </c>
      <c r="C11" s="34" t="s">
        <v>470</v>
      </c>
      <c r="D11" s="34" t="s">
        <v>471</v>
      </c>
      <c r="E11" s="76" t="s">
        <v>472</v>
      </c>
    </row>
    <row r="12" customFormat="false" ht="19.5" hidden="false" customHeight="true" outlineLevel="0" collapsed="false">
      <c r="A12" s="32" t="s">
        <v>473</v>
      </c>
      <c r="B12" s="31" t="s">
        <v>474</v>
      </c>
      <c r="C12" s="31" t="s">
        <v>475</v>
      </c>
      <c r="D12" s="31" t="s">
        <v>476</v>
      </c>
      <c r="E12" s="77" t="s">
        <v>477</v>
      </c>
    </row>
    <row r="13" customFormat="false" ht="19.5" hidden="false" customHeight="true" outlineLevel="0" collapsed="false">
      <c r="A13" s="35" t="s">
        <v>478</v>
      </c>
      <c r="B13" s="34" t="s">
        <v>479</v>
      </c>
      <c r="C13" s="34" t="s">
        <v>480</v>
      </c>
      <c r="D13" s="34" t="s">
        <v>481</v>
      </c>
      <c r="E13" s="77" t="s">
        <v>482</v>
      </c>
    </row>
    <row r="14" customFormat="false" ht="19.5" hidden="false" customHeight="true" outlineLevel="0" collapsed="false">
      <c r="A14" s="32" t="s">
        <v>483</v>
      </c>
      <c r="B14" s="31" t="s">
        <v>484</v>
      </c>
      <c r="C14" s="31" t="s">
        <v>485</v>
      </c>
      <c r="D14" s="31" t="s">
        <v>486</v>
      </c>
      <c r="E14" s="31" t="s">
        <v>487</v>
      </c>
    </row>
    <row r="15" customFormat="false" ht="19.5" hidden="false" customHeight="true" outlineLevel="0" collapsed="false">
      <c r="A15" s="35" t="s">
        <v>488</v>
      </c>
      <c r="B15" s="34" t="s">
        <v>489</v>
      </c>
      <c r="C15" s="34" t="s">
        <v>490</v>
      </c>
      <c r="D15" s="34" t="s">
        <v>491</v>
      </c>
      <c r="E15" s="78" t="s">
        <v>492</v>
      </c>
    </row>
    <row r="16" customFormat="false" ht="19.5" hidden="false" customHeight="true" outlineLevel="0" collapsed="false">
      <c r="A16" s="32" t="s">
        <v>493</v>
      </c>
      <c r="B16" s="31" t="s">
        <v>494</v>
      </c>
      <c r="C16" s="31" t="s">
        <v>495</v>
      </c>
      <c r="D16" s="31" t="s">
        <v>496</v>
      </c>
      <c r="E16" s="78" t="s">
        <v>497</v>
      </c>
    </row>
    <row r="17" customFormat="false" ht="19.5" hidden="false" customHeight="true" outlineLevel="0" collapsed="false">
      <c r="A17" s="35" t="s">
        <v>498</v>
      </c>
      <c r="B17" s="34" t="s">
        <v>499</v>
      </c>
      <c r="C17" s="34" t="s">
        <v>500</v>
      </c>
      <c r="D17" s="34" t="s">
        <v>501</v>
      </c>
      <c r="E17" s="77" t="s">
        <v>477</v>
      </c>
    </row>
    <row r="18" customFormat="false" ht="19.5" hidden="false" customHeight="true" outlineLevel="0" collapsed="false">
      <c r="A18" s="32" t="s">
        <v>502</v>
      </c>
      <c r="B18" s="31" t="s">
        <v>499</v>
      </c>
      <c r="C18" s="31" t="s">
        <v>503</v>
      </c>
      <c r="D18" s="31" t="s">
        <v>504</v>
      </c>
      <c r="E18" s="78" t="s">
        <v>116</v>
      </c>
    </row>
    <row r="19" customFormat="false" ht="19.5" hidden="false" customHeight="true" outlineLevel="0" collapsed="false">
      <c r="A19" s="35" t="s">
        <v>505</v>
      </c>
      <c r="B19" s="34" t="s">
        <v>506</v>
      </c>
      <c r="C19" s="34" t="s">
        <v>507</v>
      </c>
      <c r="D19" s="34" t="s">
        <v>508</v>
      </c>
      <c r="E19" s="79" t="s">
        <v>509</v>
      </c>
    </row>
    <row r="20" customFormat="false" ht="19.5" hidden="false" customHeight="true" outlineLevel="0" collapsed="false">
      <c r="A20" s="32" t="s">
        <v>510</v>
      </c>
      <c r="B20" s="31" t="s">
        <v>511</v>
      </c>
      <c r="C20" s="31" t="s">
        <v>512</v>
      </c>
      <c r="D20" s="31" t="s">
        <v>513</v>
      </c>
      <c r="E20" s="77" t="s">
        <v>514</v>
      </c>
    </row>
    <row r="21" customFormat="false" ht="19.5" hidden="false" customHeight="true" outlineLevel="0" collapsed="false">
      <c r="A21" s="35" t="s">
        <v>515</v>
      </c>
      <c r="B21" s="34" t="s">
        <v>516</v>
      </c>
      <c r="C21" s="34" t="s">
        <v>517</v>
      </c>
      <c r="D21" s="34" t="s">
        <v>518</v>
      </c>
      <c r="E21" s="76" t="s">
        <v>519</v>
      </c>
    </row>
    <row r="22" customFormat="false" ht="19.5" hidden="false" customHeight="true" outlineLevel="0" collapsed="false">
      <c r="A22" s="32" t="s">
        <v>520</v>
      </c>
      <c r="B22" s="31" t="s">
        <v>521</v>
      </c>
      <c r="C22" s="31" t="s">
        <v>401</v>
      </c>
      <c r="D22" s="31" t="s">
        <v>522</v>
      </c>
      <c r="E22" s="79" t="s">
        <v>523</v>
      </c>
    </row>
    <row r="23" customFormat="false" ht="19.5" hidden="false" customHeight="true" outlineLevel="0" collapsed="false">
      <c r="A23" s="35" t="s">
        <v>524</v>
      </c>
      <c r="B23" s="34" t="s">
        <v>525</v>
      </c>
      <c r="C23" s="34" t="s">
        <v>374</v>
      </c>
      <c r="D23" s="34" t="s">
        <v>526</v>
      </c>
      <c r="E23" s="79" t="s">
        <v>523</v>
      </c>
    </row>
    <row r="24" customFormat="false" ht="19.5" hidden="false" customHeight="true" outlineLevel="0" collapsed="false">
      <c r="A24" s="32" t="s">
        <v>527</v>
      </c>
      <c r="B24" s="31" t="s">
        <v>528</v>
      </c>
      <c r="C24" s="31" t="s">
        <v>529</v>
      </c>
      <c r="D24" s="31" t="s">
        <v>530</v>
      </c>
      <c r="E24" s="77" t="s">
        <v>531</v>
      </c>
    </row>
    <row r="25" customFormat="false" ht="19.5" hidden="false" customHeight="true" outlineLevel="0" collapsed="false">
      <c r="A25" s="35" t="s">
        <v>532</v>
      </c>
      <c r="B25" s="34" t="s">
        <v>533</v>
      </c>
      <c r="C25" s="34" t="s">
        <v>534</v>
      </c>
      <c r="D25" s="34" t="s">
        <v>535</v>
      </c>
      <c r="E25" s="78" t="s">
        <v>536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2026-04-05T09:04:59Z</dcterms:created>
  <dc:creator>openpyxl</dc:creator>
  <dc:description/>
  <dc:language>en-US</dc:language>
  <cp:lastModifiedBy/>
  <dcterms:modified xsi:type="dcterms:W3CDTF">2026-04-05T09:04:59Z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